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440" firstSheet="0" activeTab="0" autoFilterDateGrouping="1"/>
  </bookViews>
  <sheets>
    <sheet xmlns:r="http://schemas.openxmlformats.org/officeDocument/2006/relationships" name="PLAN DE MUESTREO-AGUA" sheetId="1" state="visible" r:id="rId1"/>
    <sheet xmlns:r="http://schemas.openxmlformats.org/officeDocument/2006/relationships" name="Hoja1" sheetId="2" state="hidden" r:id="rId2"/>
    <sheet xmlns:r="http://schemas.openxmlformats.org/officeDocument/2006/relationships" name="PARAMETROS" sheetId="3" state="visible" r:id="rId3"/>
    <sheet xmlns:r="http://schemas.openxmlformats.org/officeDocument/2006/relationships" name="MATRIZ" sheetId="4" state="visible" r:id="rId4"/>
  </sheets>
  <definedNames>
    <definedName name="_xleta.AND" hidden="1" xlm="1">#NAME?</definedName>
    <definedName name="COMERCIALES">Tabla6[COMERCIALES]</definedName>
    <definedName name="MATRICES">Tabla4[MATRICES]</definedName>
    <definedName name="MUESTREADOR">Tabla5[MUESTREADOR]</definedName>
    <definedName name="PARAMETROS">Tabla1[PARAMETRO]</definedName>
    <definedName name="_xlnm.Print_Area" localSheetId="0">'PLAN DE MUESTREO-AGUA'!$A$1:$AD$87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10"/>
    </font>
    <font>
      <name val="Arial"/>
      <family val="2"/>
      <b val="1"/>
      <color theme="1"/>
      <sz val="12"/>
    </font>
    <font>
      <name val="Arial"/>
      <family val="2"/>
      <color theme="1"/>
      <sz val="12"/>
    </font>
    <font>
      <name val="Arial"/>
      <family val="2"/>
      <b val="1"/>
      <i val="1"/>
      <color rgb="FF0070C0"/>
      <sz val="12"/>
    </font>
    <font>
      <name val="Arial"/>
      <family val="2"/>
      <b val="1"/>
      <sz val="12"/>
    </font>
    <font>
      <name val="Arial"/>
      <family val="2"/>
      <color indexed="8"/>
      <sz val="12"/>
    </font>
    <font>
      <name val="Arial"/>
      <family val="2"/>
      <b val="1"/>
      <color indexed="8"/>
      <sz val="12"/>
    </font>
    <font>
      <name val="Arial"/>
      <family val="2"/>
      <b val="1"/>
      <color theme="1"/>
      <sz val="16"/>
    </font>
    <font>
      <name val="Calibri"/>
      <family val="2"/>
      <b val="1"/>
      <color theme="1"/>
      <sz val="11"/>
      <scheme val="minor"/>
    </font>
    <font>
      <name val="Arial"/>
      <family val="2"/>
      <b val="1"/>
      <sz val="11"/>
    </font>
    <font>
      <name val="Calibri"/>
      <family val="2"/>
      <b val="1"/>
      <i val="1"/>
      <color theme="1"/>
      <sz val="11"/>
      <scheme val="minor"/>
    </font>
    <font>
      <name val="Calibri"/>
      <family val="2"/>
      <b val="1"/>
      <i val="1"/>
      <color theme="1"/>
      <sz val="18"/>
      <scheme val="minor"/>
    </font>
    <font>
      <name val="Calibri"/>
      <family val="2"/>
      <b val="1"/>
      <i val="1"/>
      <color theme="1"/>
      <sz val="14"/>
      <scheme val="minor"/>
    </font>
    <font>
      <name val="Calibri"/>
      <family val="2"/>
      <b val="1"/>
      <i val="1"/>
      <color theme="1"/>
      <sz val="12"/>
      <scheme val="minor"/>
    </font>
    <font>
      <name val="Arial"/>
      <family val="2"/>
      <sz val="12"/>
    </font>
    <font>
      <name val="Calibri"/>
      <family val="2"/>
      <b val="1"/>
      <sz val="11"/>
      <scheme val="minor"/>
    </font>
    <font>
      <name val="Arial"/>
      <family val="2"/>
      <b val="1"/>
      <i val="1"/>
      <color theme="1"/>
      <sz val="14"/>
    </font>
    <font>
      <name val="Calibri"/>
      <family val="2"/>
      <sz val="11"/>
      <scheme val="minor"/>
    </font>
    <font>
      <name val="Arial"/>
      <family val="2"/>
      <b val="1"/>
      <color theme="1"/>
      <sz val="36"/>
    </font>
    <font>
      <name val="Arial"/>
      <family val="2"/>
      <b val="1"/>
      <color theme="1"/>
      <sz val="24"/>
    </font>
    <font>
      <name val="Arial"/>
      <family val="2"/>
      <b val="1"/>
      <color theme="1"/>
      <sz val="14"/>
    </font>
    <font>
      <name val="Arial"/>
      <family val="2"/>
      <color theme="1"/>
      <sz val="13"/>
    </font>
    <font>
      <name val="Calibri"/>
      <family val="2"/>
      <color theme="1"/>
      <sz val="14"/>
      <scheme val="minor"/>
    </font>
    <font>
      <name val="Arial"/>
      <family val="2"/>
      <color theme="1"/>
      <sz val="14"/>
    </font>
    <font>
      <name val="Arial"/>
      <family val="2"/>
      <sz val="18"/>
    </font>
    <font>
      <name val="Arial"/>
      <family val="2"/>
      <sz val="11"/>
    </font>
    <font>
      <name val="Arial"/>
      <family val="2"/>
      <sz val="16"/>
    </font>
    <font>
      <name val="Arial"/>
      <family val="2"/>
      <sz val="12"/>
      <vertAlign val="subscript"/>
    </font>
    <font>
      <name val="Arial"/>
      <family val="2"/>
      <sz val="13"/>
    </font>
    <font>
      <name val="Arial"/>
      <family val="2"/>
      <b val="1"/>
      <i val="1"/>
      <color rgb="FF0070C0"/>
      <sz val="9"/>
    </font>
    <font>
      <name val="Arial"/>
      <family val="2"/>
      <b val="1"/>
      <i val="1"/>
      <color rgb="FF0070C0"/>
      <sz val="24"/>
    </font>
    <font>
      <name val="Arial"/>
      <family val="2"/>
      <b val="1"/>
      <i val="1"/>
      <color rgb="FF0070C0"/>
      <sz val="11"/>
    </font>
    <font>
      <name val="Arial"/>
      <family val="2"/>
      <b val="1"/>
      <i val="1"/>
      <color rgb="FF0070C0"/>
      <sz val="13"/>
    </font>
    <font>
      <name val="Arial"/>
      <family val="2"/>
      <b val="1"/>
      <color theme="1"/>
      <sz val="11"/>
    </font>
    <font>
      <name val="Calibri"/>
      <family val="2"/>
      <color rgb="FFFFFF00"/>
      <sz val="14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rgb="FF7030A0"/>
      <sz val="16"/>
      <scheme val="minor"/>
    </font>
    <font>
      <name val="Calibri"/>
      <family val="2"/>
      <b val="1"/>
      <color rgb="FFFF0000"/>
      <sz val="14"/>
      <scheme val="minor"/>
    </font>
    <font>
      <name val="Arial"/>
      <family val="2"/>
      <b val="1"/>
      <sz val="14"/>
    </font>
    <font>
      <name val="Arial"/>
      <family val="2"/>
      <b val="1"/>
      <sz val="10"/>
    </font>
    <font>
      <name val="Arial"/>
      <family val="2"/>
      <i val="1"/>
      <color rgb="FF0070C0"/>
      <sz val="12"/>
    </font>
    <font>
      <name val="Arial"/>
      <family val="2"/>
      <b val="1"/>
      <i val="1"/>
      <sz val="12"/>
    </font>
    <font>
      <name val="Arial"/>
      <family val="2"/>
      <b val="1"/>
      <i val="1"/>
      <sz val="18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0"/>
      <sz val="16"/>
    </font>
    <font>
      <name val="Arial"/>
      <family val="2"/>
      <b val="1"/>
      <color theme="6" tint="-0.249977111117893"/>
      <sz val="10"/>
    </font>
    <font>
      <name val="Calibri"/>
      <family val="2"/>
      <strike val="1"/>
      <color rgb="FFFF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Arial"/>
      <family val="2"/>
      <b val="1"/>
      <color theme="9" tint="-0.249977111117893"/>
      <sz val="10"/>
    </font>
    <font>
      <name val="Arial"/>
      <family val="2"/>
      <b val="1"/>
      <color theme="9" tint="-0.249977111117893"/>
      <sz val="11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1"/>
      <sz val="39"/>
    </font>
    <font>
      <name val="Arial"/>
      <family val="2"/>
      <i val="1"/>
      <color theme="1"/>
      <sz val="14"/>
    </font>
    <font>
      <name val="Arial"/>
      <family val="2"/>
      <b val="1"/>
      <i val="1"/>
      <color theme="1"/>
      <sz val="28"/>
    </font>
    <font>
      <name val="Arial"/>
      <family val="2"/>
      <b val="1"/>
      <color rgb="FFFF0000"/>
      <sz val="28"/>
    </font>
    <font>
      <name val="Arial"/>
      <family val="2"/>
      <b val="1"/>
      <i val="1"/>
      <color theme="1"/>
      <sz val="36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0" borderId="0"/>
  </cellStyleXfs>
  <cellXfs count="520">
    <xf numFmtId="0" fontId="0" fillId="0" borderId="0" pivotButton="0" quotePrefix="0" xfId="0"/>
    <xf numFmtId="0" fontId="10" fillId="0" borderId="23" applyAlignment="1" pivotButton="0" quotePrefix="0" xfId="0">
      <alignment horizontal="left"/>
    </xf>
    <xf numFmtId="0" fontId="10" fillId="0" borderId="23" applyAlignment="1" pivotButton="0" quotePrefix="0" xfId="0">
      <alignment horizontal="center"/>
    </xf>
    <xf numFmtId="0" fontId="17" fillId="0" borderId="23" applyAlignment="1" pivotButton="0" quotePrefix="0" xfId="0">
      <alignment horizontal="left"/>
    </xf>
    <xf numFmtId="0" fontId="17" fillId="0" borderId="23" applyAlignment="1" pivotButton="0" quotePrefix="0" xfId="0">
      <alignment horizontal="left" vertical="center" wrapText="1"/>
    </xf>
    <xf numFmtId="0" fontId="4" fillId="2" borderId="0" applyAlignment="1" pivotButton="0" quotePrefix="0" xfId="0">
      <alignment horizontal="left" wrapText="1"/>
    </xf>
    <xf numFmtId="0" fontId="18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wrapText="1"/>
    </xf>
    <xf numFmtId="0" fontId="3" fillId="2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9" fillId="2" borderId="0" pivotButton="0" quotePrefix="0" xfId="0"/>
    <xf numFmtId="0" fontId="23" fillId="2" borderId="0" applyAlignment="1" pivotButton="0" quotePrefix="0" xfId="0">
      <alignment horizontal="left" vertical="center"/>
    </xf>
    <xf numFmtId="0" fontId="23" fillId="2" borderId="0" applyAlignment="1" pivotButton="0" quotePrefix="0" xfId="0">
      <alignment vertical="center"/>
    </xf>
    <xf numFmtId="0" fontId="10" fillId="0" borderId="6" applyAlignment="1" pivotButton="0" quotePrefix="0" xfId="0">
      <alignment horizontal="center"/>
    </xf>
    <xf numFmtId="0" fontId="17" fillId="0" borderId="6" applyAlignment="1" pivotButton="0" quotePrefix="0" xfId="0">
      <alignment horizontal="center"/>
    </xf>
    <xf numFmtId="0" fontId="12" fillId="6" borderId="40" applyAlignment="1" pivotButton="0" quotePrefix="0" xfId="0">
      <alignment horizontal="center" vertical="center"/>
    </xf>
    <xf numFmtId="0" fontId="10" fillId="0" borderId="15" applyAlignment="1" pivotButton="0" quotePrefix="0" xfId="0">
      <alignment horizontal="center"/>
    </xf>
    <xf numFmtId="0" fontId="10" fillId="0" borderId="14" applyAlignment="1" pivotButton="0" quotePrefix="0" xfId="0">
      <alignment horizontal="center"/>
    </xf>
    <xf numFmtId="0" fontId="10" fillId="0" borderId="41" applyAlignment="1" pivotButton="0" quotePrefix="0" xfId="0">
      <alignment horizontal="left"/>
    </xf>
    <xf numFmtId="0" fontId="10" fillId="0" borderId="42" applyAlignment="1" pivotButton="0" quotePrefix="0" xfId="0">
      <alignment horizontal="center"/>
    </xf>
    <xf numFmtId="0" fontId="10" fillId="0" borderId="42" applyAlignment="1" pivotButton="0" quotePrefix="0" xfId="0">
      <alignment horizontal="left"/>
    </xf>
    <xf numFmtId="0" fontId="16" fillId="0" borderId="11" applyAlignment="1" pivotButton="0" quotePrefix="0" xfId="0">
      <alignment vertical="center"/>
    </xf>
    <xf numFmtId="0" fontId="16" fillId="0" borderId="12" applyAlignment="1" pivotButton="0" quotePrefix="0" xfId="0">
      <alignment vertical="center"/>
    </xf>
    <xf numFmtId="0" fontId="16" fillId="0" borderId="3" applyAlignment="1" pivotButton="0" quotePrefix="0" xfId="0">
      <alignment vertical="center"/>
    </xf>
    <xf numFmtId="0" fontId="16" fillId="0" borderId="4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16" fillId="2" borderId="33" applyAlignment="1" pivotButton="0" quotePrefix="0" xfId="0">
      <alignment vertical="center"/>
    </xf>
    <xf numFmtId="0" fontId="16" fillId="2" borderId="12" applyAlignment="1" pivotButton="0" quotePrefix="0" xfId="0">
      <alignment vertical="center"/>
    </xf>
    <xf numFmtId="0" fontId="16" fillId="2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/>
    </xf>
    <xf numFmtId="0" fontId="33" fillId="0" borderId="18" applyAlignment="1" pivotButton="0" quotePrefix="0" xfId="0">
      <alignment vertical="center"/>
    </xf>
    <xf numFmtId="0" fontId="33" fillId="0" borderId="0" applyAlignment="1" pivotButton="0" quotePrefix="0" xfId="0">
      <alignment horizontal="center" vertical="center"/>
    </xf>
    <xf numFmtId="0" fontId="33" fillId="0" borderId="11" applyAlignment="1" pivotButton="0" quotePrefix="0" xfId="0">
      <alignment vertical="center"/>
    </xf>
    <xf numFmtId="0" fontId="33" fillId="0" borderId="12" applyAlignment="1" pivotButton="0" quotePrefix="0" xfId="0">
      <alignment vertical="center"/>
    </xf>
    <xf numFmtId="0" fontId="5" fillId="0" borderId="4" applyAlignment="1" pivotButton="0" quotePrefix="0" xfId="0">
      <alignment horizontal="center" vertical="center"/>
    </xf>
    <xf numFmtId="0" fontId="7" fillId="0" borderId="8" applyAlignment="1" pivotButton="0" quotePrefix="0" xfId="0">
      <alignment vertical="center"/>
    </xf>
    <xf numFmtId="0" fontId="7" fillId="0" borderId="9" applyAlignment="1" pivotButton="0" quotePrefix="0" xfId="0">
      <alignment vertical="center"/>
    </xf>
    <xf numFmtId="0" fontId="7" fillId="0" borderId="2" applyAlignment="1" pivotButton="0" quotePrefix="0" xfId="0">
      <alignment vertical="center"/>
    </xf>
    <xf numFmtId="0" fontId="7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9" applyAlignment="1" pivotButton="0" quotePrefix="0" xfId="0">
      <alignment vertical="center"/>
    </xf>
    <xf numFmtId="0" fontId="11" fillId="3" borderId="14" applyAlignment="1" pivotButton="0" quotePrefix="0" xfId="1">
      <alignment vertical="center"/>
    </xf>
    <xf numFmtId="0" fontId="34" fillId="2" borderId="0" applyAlignment="1" pivotButton="0" quotePrefix="0" xfId="0">
      <alignment horizontal="left" vertical="center"/>
    </xf>
    <xf numFmtId="0" fontId="3" fillId="4" borderId="35" applyAlignment="1" pivotButton="0" quotePrefix="0" xfId="0">
      <alignment vertical="center"/>
    </xf>
    <xf numFmtId="0" fontId="3" fillId="4" borderId="24" applyAlignment="1" pivotButton="0" quotePrefix="0" xfId="0">
      <alignment vertical="center"/>
    </xf>
    <xf numFmtId="0" fontId="3" fillId="4" borderId="25" applyAlignment="1" pivotButton="0" quotePrefix="0" xfId="0">
      <alignment vertical="center"/>
    </xf>
    <xf numFmtId="0" fontId="16" fillId="0" borderId="17" applyAlignment="1" pivotButton="0" quotePrefix="0" xfId="0">
      <alignment vertical="center"/>
    </xf>
    <xf numFmtId="0" fontId="16" fillId="0" borderId="21" applyAlignment="1" pivotButton="0" quotePrefix="0" xfId="0">
      <alignment vertical="center"/>
    </xf>
    <xf numFmtId="0" fontId="33" fillId="3" borderId="6" applyAlignment="1" pivotButton="0" quotePrefix="0" xfId="0">
      <alignment vertical="center"/>
    </xf>
    <xf numFmtId="0" fontId="33" fillId="3" borderId="7" applyAlignment="1" pivotButton="0" quotePrefix="0" xfId="0">
      <alignment vertical="center"/>
    </xf>
    <xf numFmtId="0" fontId="33" fillId="3" borderId="6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1" fillId="3" borderId="7" applyAlignment="1" pivotButton="0" quotePrefix="0" xfId="0">
      <alignment vertical="center"/>
    </xf>
    <xf numFmtId="0" fontId="6" fillId="2" borderId="0" applyAlignment="1" pivotButton="0" quotePrefix="0" xfId="0">
      <alignment vertical="top" wrapText="1"/>
    </xf>
    <xf numFmtId="0" fontId="16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horizontal="center" vertical="top" wrapText="1"/>
    </xf>
    <xf numFmtId="0" fontId="4" fillId="2" borderId="0" pivotButton="0" quotePrefix="0" xfId="0"/>
    <xf numFmtId="0" fontId="20" fillId="2" borderId="0" applyAlignment="1" pivotButton="0" quotePrefix="0" xfId="0">
      <alignment vertical="center"/>
    </xf>
    <xf numFmtId="0" fontId="4" fillId="2" borderId="13" pivotButton="0" quotePrefix="0" xfId="0"/>
    <xf numFmtId="0" fontId="4" fillId="0" borderId="0" applyAlignment="1" pivotButton="0" quotePrefix="0" xfId="0">
      <alignment vertical="center"/>
    </xf>
    <xf numFmtId="0" fontId="4" fillId="2" borderId="17" pivotButton="0" quotePrefix="0" xfId="0"/>
    <xf numFmtId="0" fontId="16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31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left"/>
    </xf>
    <xf numFmtId="0" fontId="4" fillId="2" borderId="0" applyAlignment="1" pivotButton="0" quotePrefix="0" xfId="0">
      <alignment horizontal="center"/>
    </xf>
    <xf numFmtId="0" fontId="4" fillId="0" borderId="0" pivotButton="0" quotePrefix="0" xfId="0"/>
    <xf numFmtId="0" fontId="33" fillId="3" borderId="1" applyAlignment="1" pivotButton="0" quotePrefix="0" xfId="0">
      <alignment horizontal="center" vertical="center"/>
    </xf>
    <xf numFmtId="0" fontId="16" fillId="0" borderId="0" pivotButton="0" quotePrefix="0" xfId="0"/>
    <xf numFmtId="0" fontId="16" fillId="2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center" vertical="center"/>
    </xf>
    <xf numFmtId="0" fontId="4" fillId="0" borderId="8" pivotButton="0" quotePrefix="0" xfId="0"/>
    <xf numFmtId="0" fontId="7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 vertical="center"/>
    </xf>
    <xf numFmtId="0" fontId="7" fillId="2" borderId="0" applyAlignment="1" pivotButton="0" quotePrefix="0" xfId="0">
      <alignment vertical="center"/>
    </xf>
    <xf numFmtId="0" fontId="8" fillId="2" borderId="0" applyAlignment="1" pivotButton="0" quotePrefix="0" xfId="0">
      <alignment horizontal="left" vertical="center"/>
    </xf>
    <xf numFmtId="0" fontId="4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/>
    </xf>
    <xf numFmtId="0" fontId="6" fillId="2" borderId="0" applyAlignment="1" pivotButton="0" quotePrefix="0" xfId="0">
      <alignment horizontal="center"/>
    </xf>
    <xf numFmtId="0" fontId="6" fillId="2" borderId="0" pivotButton="0" quotePrefix="0" xfId="0"/>
    <xf numFmtId="0" fontId="6" fillId="2" borderId="0" applyAlignment="1" pivotButton="0" quotePrefix="0" xfId="0">
      <alignment horizontal="left" vertical="center"/>
    </xf>
    <xf numFmtId="0" fontId="7" fillId="2" borderId="0" pivotButton="0" quotePrefix="0" xfId="0"/>
    <xf numFmtId="0" fontId="24" fillId="0" borderId="0" pivotButton="0" quotePrefix="0" xfId="0"/>
    <xf numFmtId="0" fontId="0" fillId="0" borderId="1" pivotButton="0" quotePrefix="0" xfId="0"/>
    <xf numFmtId="0" fontId="0" fillId="0" borderId="46" pivotButton="0" quotePrefix="0" xfId="0"/>
    <xf numFmtId="0" fontId="30" fillId="4" borderId="1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22" fillId="2" borderId="3" applyAlignment="1" applyProtection="1" pivotButton="0" quotePrefix="0" xfId="0">
      <alignment vertical="center"/>
      <protection locked="0" hidden="0"/>
    </xf>
    <xf numFmtId="0" fontId="22" fillId="2" borderId="0" applyAlignment="1" applyProtection="1" pivotButton="0" quotePrefix="0" xfId="0">
      <alignment vertical="center"/>
      <protection locked="0" hidden="0"/>
    </xf>
    <xf numFmtId="0" fontId="45" fillId="2" borderId="15" applyAlignment="1" applyProtection="1" pivotButton="0" quotePrefix="0" xfId="0">
      <alignment vertical="center"/>
      <protection locked="0" hidden="0"/>
    </xf>
    <xf numFmtId="0" fontId="26" fillId="2" borderId="15" applyAlignment="1" applyProtection="1" pivotButton="0" quotePrefix="0" xfId="0">
      <alignment vertical="center"/>
      <protection locked="0" hidden="0"/>
    </xf>
    <xf numFmtId="0" fontId="26" fillId="2" borderId="0" applyAlignment="1" applyProtection="1" pivotButton="0" quotePrefix="0" xfId="0">
      <alignment vertical="center"/>
      <protection locked="0" hidden="0"/>
    </xf>
    <xf numFmtId="0" fontId="16" fillId="2" borderId="31" applyProtection="1" pivotButton="0" quotePrefix="0" xfId="0">
      <protection locked="0" hidden="0"/>
    </xf>
    <xf numFmtId="0" fontId="16" fillId="0" borderId="2" applyAlignment="1" applyProtection="1" pivotButton="0" quotePrefix="0" xfId="0">
      <alignment vertical="center"/>
      <protection locked="1" hidden="1"/>
    </xf>
    <xf numFmtId="0" fontId="43" fillId="0" borderId="44" applyAlignment="1" applyProtection="1" pivotButton="0" quotePrefix="0" xfId="0">
      <alignment horizontal="center" vertical="center"/>
      <protection locked="1" hidden="1"/>
    </xf>
    <xf numFmtId="0" fontId="16" fillId="0" borderId="4" applyAlignment="1" applyProtection="1" pivotButton="0" quotePrefix="0" xfId="0">
      <alignment horizontal="center" vertical="center"/>
      <protection locked="1" hidden="1"/>
    </xf>
    <xf numFmtId="0" fontId="8" fillId="0" borderId="45" applyAlignment="1" applyProtection="1" pivotButton="0" quotePrefix="0" xfId="0">
      <alignment horizontal="center" vertical="center"/>
      <protection locked="0" hidden="0"/>
    </xf>
    <xf numFmtId="0" fontId="8" fillId="0" borderId="45" applyAlignment="1" applyProtection="1" pivotButton="0" quotePrefix="0" xfId="0">
      <alignment vertical="center"/>
      <protection locked="0" hidden="0"/>
    </xf>
    <xf numFmtId="0" fontId="4" fillId="2" borderId="14" applyProtection="1" pivotButton="0" quotePrefix="0" xfId="0">
      <protection locked="0" hidden="0"/>
    </xf>
    <xf numFmtId="0" fontId="8" fillId="2" borderId="14" applyAlignment="1" applyProtection="1" pivotButton="0" quotePrefix="0" xfId="0">
      <alignment vertical="center"/>
      <protection locked="0" hidden="0"/>
    </xf>
    <xf numFmtId="0" fontId="6" fillId="0" borderId="8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horizontal="center" vertical="center"/>
      <protection locked="0" hidden="0"/>
    </xf>
    <xf numFmtId="0" fontId="16" fillId="0" borderId="21" applyAlignment="1" applyProtection="1" pivotButton="0" quotePrefix="0" xfId="0">
      <alignment horizontal="center" vertical="center"/>
      <protection locked="0" hidden="0"/>
    </xf>
    <xf numFmtId="0" fontId="1" fillId="0" borderId="20" applyAlignment="1" applyProtection="1" pivotButton="0" quotePrefix="0" xfId="0">
      <alignment horizontal="center" vertical="center"/>
      <protection locked="0" hidden="0"/>
    </xf>
    <xf numFmtId="0" fontId="16" fillId="0" borderId="11" applyAlignment="1" applyProtection="1" pivotButton="0" quotePrefix="0" xfId="0">
      <alignment vertical="center"/>
      <protection locked="0" hidden="0"/>
    </xf>
    <xf numFmtId="0" fontId="16" fillId="0" borderId="12" applyAlignment="1" applyProtection="1" pivotButton="0" quotePrefix="0" xfId="0">
      <alignment vertical="center"/>
      <protection locked="0" hidden="0"/>
    </xf>
    <xf numFmtId="0" fontId="16" fillId="0" borderId="10" applyAlignment="1" applyProtection="1" pivotButton="0" quotePrefix="0" xfId="0">
      <alignment vertical="center"/>
      <protection locked="0" hidden="0"/>
    </xf>
    <xf numFmtId="0" fontId="16" fillId="0" borderId="11" applyAlignment="1" applyProtection="1" pivotButton="0" quotePrefix="0" xfId="0">
      <alignment vertical="center"/>
      <protection locked="1" hidden="1"/>
    </xf>
    <xf numFmtId="0" fontId="5" fillId="0" borderId="11" applyAlignment="1" applyProtection="1" pivotButton="0" quotePrefix="0" xfId="0">
      <alignment vertical="center"/>
      <protection locked="1" hidden="1"/>
    </xf>
    <xf numFmtId="0" fontId="46" fillId="0" borderId="23" applyAlignment="1" pivotButton="0" quotePrefix="0" xfId="0">
      <alignment horizontal="center"/>
    </xf>
    <xf numFmtId="0" fontId="46" fillId="0" borderId="6" applyAlignment="1" pivotButton="0" quotePrefix="0" xfId="0">
      <alignment horizontal="center"/>
    </xf>
    <xf numFmtId="0" fontId="46" fillId="0" borderId="23" applyAlignment="1" pivotButton="0" quotePrefix="0" xfId="0">
      <alignment horizontal="left"/>
    </xf>
    <xf numFmtId="0" fontId="37" fillId="9" borderId="27" applyAlignment="1" pivotButton="0" quotePrefix="0" xfId="0">
      <alignment horizontal="center" vertical="center"/>
    </xf>
    <xf numFmtId="0" fontId="46" fillId="0" borderId="6" pivotButton="0" quotePrefix="0" xfId="0"/>
    <xf numFmtId="0" fontId="0" fillId="0" borderId="6" pivotButton="0" quotePrefix="0" xfId="0"/>
    <xf numFmtId="0" fontId="19" fillId="0" borderId="6" pivotButton="0" quotePrefix="0" xfId="0"/>
    <xf numFmtId="0" fontId="0" fillId="7" borderId="6" pivotButton="0" quotePrefix="0" xfId="0"/>
    <xf numFmtId="0" fontId="19" fillId="7" borderId="6" pivotButton="0" quotePrefix="0" xfId="0"/>
    <xf numFmtId="0" fontId="0" fillId="0" borderId="14" applyAlignment="1" pivotButton="0" quotePrefix="0" xfId="0">
      <alignment horizontal="left"/>
    </xf>
    <xf numFmtId="0" fontId="0" fillId="0" borderId="14" pivotButton="0" quotePrefix="0" xfId="0"/>
    <xf numFmtId="0" fontId="0" fillId="0" borderId="28" pivotButton="0" quotePrefix="0" xfId="0"/>
    <xf numFmtId="0" fontId="0" fillId="0" borderId="53" pivotButton="0" quotePrefix="0" xfId="0"/>
    <xf numFmtId="0" fontId="0" fillId="0" borderId="54" pivotButton="0" quotePrefix="0" xfId="0"/>
    <xf numFmtId="0" fontId="46" fillId="0" borderId="14" pivotButton="0" quotePrefix="0" xfId="0"/>
    <xf numFmtId="0" fontId="15" fillId="6" borderId="52" applyAlignment="1" pivotButton="0" quotePrefix="0" xfId="0">
      <alignment horizontal="center" vertical="center"/>
    </xf>
    <xf numFmtId="0" fontId="46" fillId="0" borderId="28" applyAlignment="1" pivotButton="0" quotePrefix="0" xfId="0">
      <alignment horizontal="center"/>
    </xf>
    <xf numFmtId="18" fontId="10" fillId="0" borderId="28" applyAlignment="1" pivotButton="0" quotePrefix="0" xfId="0">
      <alignment horizontal="center"/>
    </xf>
    <xf numFmtId="0" fontId="17" fillId="0" borderId="28" applyAlignment="1" pivotButton="0" quotePrefix="0" xfId="0">
      <alignment horizontal="center"/>
    </xf>
    <xf numFmtId="0" fontId="10" fillId="0" borderId="28" applyAlignment="1" pivotButton="0" quotePrefix="0" xfId="0">
      <alignment horizontal="center"/>
    </xf>
    <xf numFmtId="0" fontId="10" fillId="0" borderId="53" applyAlignment="1" pivotButton="0" quotePrefix="0" xfId="0">
      <alignment horizontal="center"/>
    </xf>
    <xf numFmtId="0" fontId="13" fillId="6" borderId="29" applyAlignment="1" pivotButton="0" quotePrefix="0" xfId="0">
      <alignment horizontal="center" vertical="center"/>
    </xf>
    <xf numFmtId="0" fontId="24" fillId="5" borderId="34" applyAlignment="1" pivotButton="0" quotePrefix="0" xfId="0">
      <alignment horizontal="center" vertical="center"/>
    </xf>
    <xf numFmtId="0" fontId="0" fillId="0" borderId="24" pivotButton="0" quotePrefix="0" xfId="0"/>
    <xf numFmtId="0" fontId="24" fillId="5" borderId="0" applyAlignment="1" pivotButton="0" quotePrefix="0" xfId="0">
      <alignment horizontal="center" vertical="center"/>
    </xf>
    <xf numFmtId="0" fontId="38" fillId="8" borderId="34" applyAlignment="1" pivotButton="0" quotePrefix="0" xfId="0">
      <alignment horizontal="center" vertical="center"/>
    </xf>
    <xf numFmtId="0" fontId="38" fillId="8" borderId="0" applyAlignment="1" pivotButton="0" quotePrefix="0" xfId="0">
      <alignment horizontal="center" vertical="center"/>
    </xf>
    <xf numFmtId="0" fontId="37" fillId="9" borderId="30" applyAlignment="1" pivotButton="0" quotePrefix="0" xfId="0">
      <alignment horizontal="center" vertical="center"/>
    </xf>
    <xf numFmtId="0" fontId="47" fillId="2" borderId="0" applyAlignment="1" pivotButton="0" quotePrefix="0" xfId="0">
      <alignment horizontal="center" vertical="center"/>
    </xf>
    <xf numFmtId="0" fontId="5" fillId="0" borderId="44" applyAlignment="1" applyProtection="1" pivotButton="0" quotePrefix="0" xfId="0">
      <alignment horizontal="center" vertical="center"/>
      <protection locked="1" hidden="1"/>
    </xf>
    <xf numFmtId="0" fontId="4" fillId="2" borderId="55" applyAlignment="1" pivotButton="0" quotePrefix="0" xfId="0">
      <alignment horizontal="center" vertical="center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" fillId="0" borderId="32" applyAlignment="1" applyProtection="1" pivotButton="0" quotePrefix="0" xfId="0">
      <alignment vertical="center"/>
      <protection locked="1" hidden="1"/>
    </xf>
    <xf numFmtId="0" fontId="16" fillId="0" borderId="3" applyAlignment="1" applyProtection="1" pivotButton="0" quotePrefix="0" xfId="0">
      <alignment vertical="center"/>
      <protection locked="1" hidden="1"/>
    </xf>
    <xf numFmtId="0" fontId="11" fillId="3" borderId="19" applyAlignment="1" pivotButton="0" quotePrefix="0" xfId="1">
      <alignment vertical="center"/>
    </xf>
    <xf numFmtId="0" fontId="16" fillId="0" borderId="8" applyAlignment="1" applyProtection="1" pivotButton="0" quotePrefix="0" xfId="0">
      <alignment vertical="center"/>
      <protection locked="1" hidden="1"/>
    </xf>
    <xf numFmtId="0" fontId="16" fillId="0" borderId="10" applyAlignment="1" applyProtection="1" pivotButton="0" quotePrefix="0" xfId="0">
      <alignment vertical="center"/>
      <protection locked="1" hidden="1"/>
    </xf>
    <xf numFmtId="0" fontId="5" fillId="0" borderId="10" applyAlignment="1" applyProtection="1" pivotButton="0" quotePrefix="0" xfId="0">
      <alignment vertical="center"/>
      <protection locked="1" hidden="1"/>
    </xf>
    <xf numFmtId="0" fontId="16" fillId="0" borderId="32" applyAlignment="1" pivotButton="0" quotePrefix="0" xfId="0">
      <alignment vertical="center"/>
    </xf>
    <xf numFmtId="0" fontId="6" fillId="0" borderId="9" applyAlignment="1" applyProtection="1" pivotButton="0" quotePrefix="0" xfId="0">
      <alignment vertical="center"/>
      <protection locked="1" hidden="1"/>
    </xf>
    <xf numFmtId="0" fontId="16" fillId="0" borderId="10" applyAlignment="1" pivotButton="0" quotePrefix="0" xfId="0">
      <alignment vertical="center"/>
    </xf>
    <xf numFmtId="0" fontId="42" fillId="0" borderId="12" applyAlignment="1" applyProtection="1" pivotButton="0" quotePrefix="0" xfId="0">
      <alignment vertical="center"/>
      <protection locked="1" hidden="1"/>
    </xf>
    <xf numFmtId="0" fontId="5" fillId="0" borderId="10" applyAlignment="1" pivotButton="0" quotePrefix="0" xfId="0">
      <alignment vertical="center"/>
    </xf>
    <xf numFmtId="0" fontId="5" fillId="0" borderId="20" applyAlignment="1" pivotButton="0" quotePrefix="0" xfId="0">
      <alignment vertical="center"/>
    </xf>
    <xf numFmtId="0" fontId="16" fillId="0" borderId="20" applyAlignment="1" applyProtection="1" pivotButton="0" quotePrefix="0" xfId="0">
      <alignment horizontal="center" vertical="center"/>
      <protection locked="0" hidden="0"/>
    </xf>
    <xf numFmtId="0" fontId="1" fillId="0" borderId="21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1">
      <alignment vertical="center"/>
    </xf>
    <xf numFmtId="0" fontId="33" fillId="3" borderId="7" applyAlignment="1" pivotButton="0" quotePrefix="0" xfId="0">
      <alignment horizontal="center" vertical="center"/>
    </xf>
    <xf numFmtId="0" fontId="33" fillId="0" borderId="16" applyAlignment="1" pivotButton="0" quotePrefix="0" xfId="0">
      <alignment vertical="center"/>
    </xf>
    <xf numFmtId="0" fontId="5" fillId="0" borderId="18" applyAlignment="1" applyProtection="1" pivotButton="0" quotePrefix="0" xfId="0">
      <alignment horizontal="center" vertical="center"/>
      <protection locked="0" hidden="1"/>
    </xf>
    <xf numFmtId="0" fontId="33" fillId="0" borderId="10" applyAlignment="1" pivotButton="0" quotePrefix="0" xfId="0">
      <alignment vertical="center"/>
    </xf>
    <xf numFmtId="0" fontId="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applyProtection="1" pivotButton="0" quotePrefix="0" xfId="0">
      <alignment vertical="center"/>
      <protection locked="0" hidden="0"/>
    </xf>
    <xf numFmtId="0" fontId="33" fillId="0" borderId="13" applyAlignment="1" applyProtection="1" pivotButton="0" quotePrefix="0" xfId="0">
      <alignment vertical="center"/>
      <protection locked="0" hidden="0"/>
    </xf>
    <xf numFmtId="0" fontId="33" fillId="0" borderId="49" applyAlignment="1" applyProtection="1" pivotButton="0" quotePrefix="0" xfId="0">
      <alignment vertical="center"/>
      <protection locked="0" hidden="0"/>
    </xf>
    <xf numFmtId="0" fontId="5" fillId="0" borderId="48" applyAlignment="1" applyProtection="1" pivotButton="0" quotePrefix="0" xfId="0">
      <alignment horizontal="center" vertical="center"/>
      <protection locked="0" hidden="0"/>
    </xf>
    <xf numFmtId="0" fontId="16" fillId="0" borderId="48" applyAlignment="1" applyProtection="1" pivotButton="0" quotePrefix="0" xfId="0">
      <alignment horizontal="center" vertical="center"/>
      <protection locked="0" hidden="0"/>
    </xf>
    <xf numFmtId="0" fontId="6" fillId="0" borderId="48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0">
      <alignment vertical="center"/>
    </xf>
    <xf numFmtId="0" fontId="1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pivotButton="0" quotePrefix="0" xfId="0">
      <alignment vertical="center"/>
    </xf>
    <xf numFmtId="0" fontId="33" fillId="0" borderId="13" applyAlignment="1" pivotButton="0" quotePrefix="0" xfId="0">
      <alignment vertical="center"/>
    </xf>
    <xf numFmtId="0" fontId="33" fillId="0" borderId="49" applyAlignment="1" pivotButton="0" quotePrefix="0" xfId="0">
      <alignment vertical="center"/>
    </xf>
    <xf numFmtId="0" fontId="5" fillId="0" borderId="48" applyAlignment="1" pivotButton="0" quotePrefix="0" xfId="0">
      <alignment horizontal="center" vertical="center"/>
    </xf>
    <xf numFmtId="0" fontId="16" fillId="2" borderId="32" applyAlignment="1" pivotButton="0" quotePrefix="0" xfId="0">
      <alignment vertical="center"/>
    </xf>
    <xf numFmtId="0" fontId="16" fillId="2" borderId="10" applyAlignment="1" pivotButton="0" quotePrefix="0" xfId="0">
      <alignment vertical="center"/>
    </xf>
    <xf numFmtId="0" fontId="16" fillId="0" borderId="16" pivotButton="0" quotePrefix="0" xfId="0"/>
    <xf numFmtId="0" fontId="16" fillId="2" borderId="49" applyAlignment="1" pivotButton="0" quotePrefix="0" xfId="0">
      <alignment vertical="center"/>
    </xf>
    <xf numFmtId="0" fontId="16" fillId="0" borderId="51" applyAlignment="1" pivotButton="0" quotePrefix="0" xfId="0">
      <alignment vertical="center"/>
    </xf>
    <xf numFmtId="0" fontId="16" fillId="0" borderId="13" applyAlignment="1" pivotButton="0" quotePrefix="0" xfId="0">
      <alignment vertical="center"/>
    </xf>
    <xf numFmtId="0" fontId="16" fillId="0" borderId="51" applyAlignment="1" applyProtection="1" pivotButton="0" quotePrefix="0" xfId="0">
      <alignment vertical="center"/>
      <protection locked="0" hidden="0"/>
    </xf>
    <xf numFmtId="0" fontId="16" fillId="0" borderId="13" applyAlignment="1" applyProtection="1" pivotButton="0" quotePrefix="0" xfId="0">
      <alignment vertical="center"/>
      <protection locked="0" hidden="0"/>
    </xf>
    <xf numFmtId="0" fontId="16" fillId="0" borderId="49" applyAlignment="1" applyProtection="1" pivotButton="0" quotePrefix="0" xfId="0">
      <alignment vertical="center"/>
      <protection locked="0" hidden="0"/>
    </xf>
    <xf numFmtId="0" fontId="16" fillId="0" borderId="51" applyProtection="1" pivotButton="0" quotePrefix="0" xfId="0">
      <protection locked="0" hidden="0"/>
    </xf>
    <xf numFmtId="0" fontId="16" fillId="0" borderId="13" applyProtection="1" pivotButton="0" quotePrefix="0" xfId="0">
      <protection locked="0" hidden="0"/>
    </xf>
    <xf numFmtId="0" fontId="16" fillId="0" borderId="49" applyProtection="1" pivotButton="0" quotePrefix="0" xfId="0">
      <protection locked="0" hidden="0"/>
    </xf>
    <xf numFmtId="2" fontId="7" fillId="0" borderId="33" applyAlignment="1" pivotButton="0" quotePrefix="0" xfId="0">
      <alignment horizontal="center"/>
    </xf>
    <xf numFmtId="2" fontId="7" fillId="0" borderId="3" applyAlignment="1" pivotButton="0" quotePrefix="0" xfId="0">
      <alignment horizontal="center" vertical="center"/>
    </xf>
    <xf numFmtId="0" fontId="6" fillId="0" borderId="0" applyAlignment="1" applyProtection="1" pivotButton="0" quotePrefix="0" xfId="0">
      <alignment horizontal="left" vertical="center"/>
      <protection locked="1" hidden="1"/>
    </xf>
    <xf numFmtId="0" fontId="6" fillId="0" borderId="12" applyAlignment="1" applyProtection="1" pivotButton="0" quotePrefix="0" xfId="0">
      <alignment horizontal="left" vertical="center"/>
      <protection locked="1" hidden="1"/>
    </xf>
    <xf numFmtId="0" fontId="6" fillId="0" borderId="20" applyAlignment="1" applyProtection="1" pivotButton="0" quotePrefix="0" xfId="0">
      <alignment horizontal="left" vertical="center"/>
      <protection locked="1" hidden="1"/>
    </xf>
    <xf numFmtId="0" fontId="6" fillId="0" borderId="21" applyAlignment="1" applyProtection="1" pivotButton="0" quotePrefix="0" xfId="0">
      <alignment horizontal="left" vertical="center"/>
      <protection locked="1" hidden="1"/>
    </xf>
    <xf numFmtId="0" fontId="48" fillId="0" borderId="10" applyAlignment="1" applyProtection="1" pivotButton="0" quotePrefix="0" xfId="0">
      <alignment vertical="center"/>
      <protection locked="1" hidden="1"/>
    </xf>
    <xf numFmtId="0" fontId="49" fillId="0" borderId="1" pivotButton="0" quotePrefix="0" xfId="0"/>
    <xf numFmtId="0" fontId="49" fillId="0" borderId="50" pivotButton="0" quotePrefix="0" xfId="0"/>
    <xf numFmtId="0" fontId="46" fillId="0" borderId="1" pivotButton="0" quotePrefix="0" xfId="0"/>
    <xf numFmtId="0" fontId="46" fillId="0" borderId="50" pivotButton="0" quotePrefix="0" xfId="0"/>
    <xf numFmtId="0" fontId="0" fillId="0" borderId="6" applyAlignment="1" pivotButton="0" quotePrefix="0" xfId="0">
      <alignment horizontal="left"/>
    </xf>
    <xf numFmtId="0" fontId="0" fillId="0" borderId="15" pivotButton="0" quotePrefix="0" xfId="0"/>
    <xf numFmtId="0" fontId="10" fillId="0" borderId="28" applyAlignment="1" pivotButton="0" quotePrefix="0" xfId="0">
      <alignment horizontal="center" vertical="center"/>
    </xf>
    <xf numFmtId="0" fontId="10" fillId="0" borderId="6" applyAlignment="1" pivotButton="0" quotePrefix="0" xfId="0">
      <alignment horizontal="center" vertical="center"/>
    </xf>
    <xf numFmtId="0" fontId="10" fillId="0" borderId="25" applyAlignment="1" pivotButton="0" quotePrefix="0" xfId="0">
      <alignment horizontal="center"/>
    </xf>
    <xf numFmtId="0" fontId="10" fillId="0" borderId="24" applyAlignment="1" pivotButton="0" quotePrefix="0" xfId="0">
      <alignment horizontal="center"/>
    </xf>
    <xf numFmtId="0" fontId="10" fillId="0" borderId="26" applyAlignment="1" pivotButton="0" quotePrefix="0" xfId="0">
      <alignment horizontal="left"/>
    </xf>
    <xf numFmtId="0" fontId="46" fillId="0" borderId="0" pivotButton="0" quotePrefix="0" xfId="0"/>
    <xf numFmtId="0" fontId="46" fillId="0" borderId="1" applyAlignment="1" pivotButton="0" quotePrefix="0" xfId="0">
      <alignment horizontal="center"/>
    </xf>
    <xf numFmtId="0" fontId="46" fillId="0" borderId="1" applyAlignment="1" pivotButton="0" quotePrefix="0" xfId="0">
      <alignment horizontal="left"/>
    </xf>
    <xf numFmtId="0" fontId="46" fillId="0" borderId="61" pivotButton="0" quotePrefix="0" xfId="0"/>
    <xf numFmtId="0" fontId="10" fillId="0" borderId="62" applyAlignment="1" pivotButton="0" quotePrefix="0" xfId="0">
      <alignment horizontal="center"/>
    </xf>
    <xf numFmtId="0" fontId="46" fillId="2" borderId="23" applyAlignment="1" pivotButton="0" quotePrefix="0" xfId="0">
      <alignment horizontal="center"/>
    </xf>
    <xf numFmtId="0" fontId="46" fillId="0" borderId="28" pivotButton="0" quotePrefix="0" xfId="0"/>
    <xf numFmtId="0" fontId="46" fillId="2" borderId="23" applyAlignment="1" pivotButton="0" quotePrefix="0" xfId="0">
      <alignment horizontal="left"/>
    </xf>
    <xf numFmtId="0" fontId="46" fillId="2" borderId="28" pivotButton="0" quotePrefix="0" xfId="0"/>
    <xf numFmtId="0" fontId="16" fillId="0" borderId="0" applyAlignment="1" pivotButton="0" quotePrefix="0" xfId="0">
      <alignment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wrapText="1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46" fillId="0" borderId="15" pivotButton="0" quotePrefix="0" xfId="0"/>
    <xf numFmtId="0" fontId="42" fillId="0" borderId="10" applyAlignment="1" applyProtection="1" pivotButton="0" quotePrefix="0" xfId="0">
      <alignment vertical="center"/>
      <protection locked="1" hidden="1"/>
    </xf>
    <xf numFmtId="0" fontId="52" fillId="0" borderId="10" applyAlignment="1" applyProtection="1" pivotButton="0" quotePrefix="0" xfId="0">
      <alignment vertical="center"/>
      <protection locked="1" hidden="1"/>
    </xf>
    <xf numFmtId="0" fontId="23" fillId="2" borderId="0" applyAlignment="1" pivotButton="0" quotePrefix="0" xfId="0">
      <alignment horizontal="center" vertical="center" wrapText="1"/>
    </xf>
    <xf numFmtId="0" fontId="0" fillId="0" borderId="50" pivotButton="0" quotePrefix="0" xfId="0"/>
    <xf numFmtId="0" fontId="16" fillId="0" borderId="51" applyAlignment="1" applyProtection="1" pivotButton="0" quotePrefix="0" xfId="0">
      <alignment vertical="center"/>
      <protection locked="1" hidden="1"/>
    </xf>
    <xf numFmtId="0" fontId="16" fillId="0" borderId="13" applyAlignment="1" applyProtection="1" pivotButton="0" quotePrefix="0" xfId="0">
      <alignment vertical="center"/>
      <protection locked="1" hidden="1"/>
    </xf>
    <xf numFmtId="0" fontId="16" fillId="0" borderId="20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0" hidden="1"/>
    </xf>
    <xf numFmtId="0" fontId="16" fillId="0" borderId="51" pivotButton="0" quotePrefix="0" xfId="0"/>
    <xf numFmtId="0" fontId="5" fillId="0" borderId="0" applyAlignment="1" pivotButton="0" quotePrefix="0" xfId="0">
      <alignment horizontal="center" vertical="center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wrapText="1"/>
    </xf>
    <xf numFmtId="2" fontId="7" fillId="0" borderId="11" applyAlignment="1" pivotButton="0" quotePrefix="0" xfId="0">
      <alignment horizontal="center" vertical="center" wrapText="1"/>
    </xf>
    <xf numFmtId="2" fontId="7" fillId="0" borderId="12" applyAlignment="1" pivotButton="0" quotePrefix="0" xfId="0">
      <alignment horizontal="center" wrapText="1"/>
    </xf>
    <xf numFmtId="0" fontId="46" fillId="0" borderId="5" applyAlignment="1" pivotButton="0" quotePrefix="0" xfId="0">
      <alignment horizontal="center" vertical="center"/>
    </xf>
    <xf numFmtId="0" fontId="10" fillId="0" borderId="61" applyAlignment="1" pivotButton="0" quotePrefix="0" xfId="0">
      <alignment horizontal="center"/>
    </xf>
    <xf numFmtId="0" fontId="46" fillId="2" borderId="61" applyAlignment="1" pivotButton="0" quotePrefix="0" xfId="0">
      <alignment horizontal="center" vertical="center"/>
    </xf>
    <xf numFmtId="0" fontId="46" fillId="0" borderId="61" applyAlignment="1" pivotButton="0" quotePrefix="0" xfId="0">
      <alignment horizontal="center" vertical="center"/>
    </xf>
    <xf numFmtId="0" fontId="10" fillId="0" borderId="25" pivotButton="0" quotePrefix="0" xfId="0"/>
    <xf numFmtId="0" fontId="10" fillId="0" borderId="28" pivotButton="0" quotePrefix="0" xfId="0"/>
    <xf numFmtId="0" fontId="17" fillId="0" borderId="28" pivotButton="0" quotePrefix="0" xfId="0"/>
    <xf numFmtId="0" fontId="10" fillId="0" borderId="28" applyAlignment="1" pivotButton="0" quotePrefix="0" xfId="0">
      <alignment horizontal="left"/>
    </xf>
    <xf numFmtId="0" fontId="17" fillId="2" borderId="28" applyAlignment="1" pivotButton="0" quotePrefix="0" xfId="4">
      <alignment horizontal="left" vertical="center" wrapText="1"/>
    </xf>
    <xf numFmtId="0" fontId="10" fillId="0" borderId="62" pivotButton="0" quotePrefix="0" xfId="0"/>
    <xf numFmtId="0" fontId="10" fillId="0" borderId="53" pivotButton="0" quotePrefix="0" xfId="0"/>
    <xf numFmtId="0" fontId="46" fillId="0" borderId="7" pivotButton="0" quotePrefix="0" xfId="0"/>
    <xf numFmtId="0" fontId="10" fillId="0" borderId="53" applyAlignment="1" pivotButton="0" quotePrefix="0" xfId="0">
      <alignment horizontal="left"/>
    </xf>
    <xf numFmtId="0" fontId="10" fillId="0" borderId="65" applyAlignment="1" pivotButton="0" quotePrefix="0" xfId="0">
      <alignment horizontal="center"/>
    </xf>
    <xf numFmtId="0" fontId="0" fillId="0" borderId="64" applyAlignment="1" pivotButton="0" quotePrefix="0" xfId="0">
      <alignment horizontal="center"/>
    </xf>
    <xf numFmtId="0" fontId="17" fillId="0" borderId="65" applyAlignment="1" pivotButton="0" quotePrefix="0" xfId="0">
      <alignment horizontal="center"/>
    </xf>
    <xf numFmtId="0" fontId="0" fillId="0" borderId="65" applyAlignment="1" pivotButton="0" quotePrefix="0" xfId="0">
      <alignment horizontal="center"/>
    </xf>
    <xf numFmtId="0" fontId="46" fillId="0" borderId="65" applyAlignment="1" pivotButton="0" quotePrefix="0" xfId="0">
      <alignment horizontal="center"/>
    </xf>
    <xf numFmtId="0" fontId="0" fillId="0" borderId="66" applyAlignment="1" pivotButton="0" quotePrefix="0" xfId="0">
      <alignment horizontal="center"/>
    </xf>
    <xf numFmtId="0" fontId="3" fillId="0" borderId="10" applyAlignment="1" applyProtection="1" pivotButton="0" quotePrefix="0" xfId="0">
      <alignment vertical="center"/>
      <protection locked="1" hidden="1"/>
    </xf>
    <xf numFmtId="0" fontId="53" fillId="0" borderId="10" applyAlignment="1" applyProtection="1" pivotButton="0" quotePrefix="0" xfId="0">
      <alignment vertical="center"/>
      <protection locked="1" hidden="1"/>
    </xf>
    <xf numFmtId="0" fontId="54" fillId="0" borderId="6" pivotButton="0" quotePrefix="0" xfId="0"/>
    <xf numFmtId="0" fontId="46" fillId="0" borderId="6" applyAlignment="1" pivotButton="0" quotePrefix="0" xfId="0">
      <alignment horizontal="left"/>
    </xf>
    <xf numFmtId="0" fontId="46" fillId="0" borderId="6" applyAlignment="1" pivotButton="0" quotePrefix="0" xfId="0">
      <alignment horizontal="center" vertical="center"/>
    </xf>
    <xf numFmtId="49" fontId="8" fillId="0" borderId="32" applyAlignment="1" pivotButton="0" quotePrefix="0" xfId="0">
      <alignment horizontal="center" vertical="center" wrapText="1"/>
    </xf>
    <xf numFmtId="49" fontId="8" fillId="0" borderId="3" applyAlignment="1" pivotButton="0" quotePrefix="0" xfId="0">
      <alignment horizontal="center" vertical="center" wrapText="1"/>
    </xf>
    <xf numFmtId="2" fontId="7" fillId="0" borderId="32" applyAlignment="1" pivotButton="0" quotePrefix="0" xfId="0">
      <alignment horizontal="center" vertical="center"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vertical="center" wrapText="1"/>
    </xf>
    <xf numFmtId="1" fontId="6" fillId="0" borderId="10" applyAlignment="1" applyProtection="1" pivotButton="0" quotePrefix="0" xfId="0">
      <alignment horizontal="center" vertical="center"/>
      <protection locked="0" hidden="0"/>
    </xf>
    <xf numFmtId="1" fontId="6" fillId="0" borderId="12" applyAlignment="1" applyProtection="1" pivotButton="0" quotePrefix="0" xfId="0">
      <alignment horizontal="center" vertical="center"/>
      <protection locked="0" hidden="0"/>
    </xf>
    <xf numFmtId="0" fontId="6" fillId="0" borderId="3" applyAlignment="1" applyProtection="1" pivotButton="0" quotePrefix="0" xfId="0">
      <alignment horizontal="center" vertical="center"/>
      <protection locked="0" hidden="0"/>
    </xf>
    <xf numFmtId="0" fontId="16" fillId="0" borderId="32" applyAlignment="1" applyProtection="1" pivotButton="0" quotePrefix="0" xfId="0">
      <alignment horizontal="center" vertical="center"/>
      <protection locked="1" hidden="1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6" fillId="0" borderId="33" applyAlignment="1" applyProtection="1" pivotButton="0" quotePrefix="0" xfId="0">
      <alignment horizontal="center" vertical="center"/>
      <protection locked="1" hidden="1"/>
    </xf>
    <xf numFmtId="0" fontId="27" fillId="0" borderId="8" applyAlignment="1" applyProtection="1" pivotButton="0" quotePrefix="0" xfId="0">
      <alignment horizontal="center" vertical="center"/>
      <protection locked="1" hidden="1"/>
    </xf>
    <xf numFmtId="0" fontId="27" fillId="0" borderId="9" applyAlignment="1" applyProtection="1" pivotButton="0" quotePrefix="0" xfId="0">
      <alignment horizontal="center" vertical="center"/>
      <protection locked="1" hidden="1"/>
    </xf>
    <xf numFmtId="0" fontId="6" fillId="2" borderId="0" applyAlignment="1" pivotButton="0" quotePrefix="0" xfId="1">
      <alignment horizontal="center" vertical="center"/>
    </xf>
    <xf numFmtId="0" fontId="4" fillId="2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center" vertical="center"/>
    </xf>
    <xf numFmtId="0" fontId="3" fillId="3" borderId="5" applyAlignment="1" pivotButton="0" quotePrefix="0" xfId="0">
      <alignment horizontal="center" vertical="center"/>
    </xf>
    <xf numFmtId="0" fontId="3" fillId="3" borderId="6" applyAlignment="1" pivotButton="0" quotePrefix="0" xfId="0">
      <alignment horizontal="center" vertical="center"/>
    </xf>
    <xf numFmtId="0" fontId="3" fillId="3" borderId="7" applyAlignment="1" pivotButton="0" quotePrefix="0" xfId="0">
      <alignment horizontal="center" vertical="center"/>
    </xf>
    <xf numFmtId="0" fontId="57" fillId="2" borderId="2" applyAlignment="1" applyProtection="1" pivotButton="0" quotePrefix="0" xfId="0">
      <alignment horizontal="center" vertical="center" wrapText="1"/>
      <protection locked="0" hidden="0"/>
    </xf>
    <xf numFmtId="0" fontId="59" fillId="2" borderId="11" applyAlignment="1" applyProtection="1" pivotButton="0" quotePrefix="0" xfId="0">
      <alignment horizontal="center" vertical="center" wrapText="1"/>
      <protection locked="0" hidden="0"/>
    </xf>
    <xf numFmtId="0" fontId="56" fillId="2" borderId="11" applyAlignment="1" applyProtection="1" pivotButton="0" quotePrefix="0" xfId="0">
      <alignment horizontal="center" vertical="center" wrapText="1"/>
      <protection locked="0" hidden="0"/>
    </xf>
    <xf numFmtId="14" fontId="18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top" wrapText="1"/>
      <protection locked="0" hidden="0"/>
    </xf>
    <xf numFmtId="0" fontId="25" fillId="2" borderId="11" applyAlignment="1" applyProtection="1" pivotButton="0" quotePrefix="0" xfId="0">
      <alignment horizontal="center" vertical="top"/>
      <protection locked="0" hidden="0"/>
    </xf>
    <xf numFmtId="0" fontId="50" fillId="2" borderId="11" applyAlignment="1" applyProtection="1" pivotButton="0" quotePrefix="0" xfId="5">
      <alignment horizontal="center" vertical="center" wrapText="1"/>
      <protection locked="0" hidden="0"/>
    </xf>
    <xf numFmtId="0" fontId="23" fillId="2" borderId="11" applyAlignment="1" applyProtection="1" pivotButton="0" quotePrefix="0" xfId="0">
      <alignment horizontal="center" vertical="center"/>
      <protection locked="0" hidden="0"/>
    </xf>
    <xf numFmtId="0" fontId="18" fillId="2" borderId="11" applyAlignment="1" applyProtection="1" pivotButton="0" quotePrefix="0" xfId="0">
      <alignment horizontal="center" vertical="center"/>
      <protection locked="0" hidden="0"/>
    </xf>
    <xf numFmtId="0" fontId="6" fillId="0" borderId="74" applyAlignment="1" applyProtection="1" pivotButton="0" quotePrefix="0" xfId="0">
      <alignment horizontal="center" vertical="center"/>
      <protection locked="1" hidden="1"/>
    </xf>
    <xf numFmtId="0" fontId="6" fillId="0" borderId="75" applyAlignment="1" applyProtection="1" pivotButton="0" quotePrefix="0" xfId="0">
      <alignment horizontal="center" vertical="center"/>
      <protection locked="1" hidden="1"/>
    </xf>
    <xf numFmtId="0" fontId="6" fillId="0" borderId="76" applyAlignment="1" applyProtection="1" pivotButton="0" quotePrefix="0" xfId="0">
      <alignment horizontal="center" vertical="center"/>
      <protection locked="1" hidden="1"/>
    </xf>
    <xf numFmtId="0" fontId="11" fillId="3" borderId="19" applyAlignment="1" pivotButton="0" quotePrefix="0" xfId="1">
      <alignment horizontal="center" vertical="center" wrapText="1"/>
    </xf>
    <xf numFmtId="0" fontId="11" fillId="3" borderId="14" applyAlignment="1" pivotButton="0" quotePrefix="0" xfId="1">
      <alignment horizontal="center" vertical="center" wrapText="1"/>
    </xf>
    <xf numFmtId="0" fontId="11" fillId="3" borderId="43" applyAlignment="1" pivotButton="0" quotePrefix="0" xfId="1">
      <alignment horizontal="center" vertical="center" wrapText="1"/>
    </xf>
    <xf numFmtId="0" fontId="11" fillId="3" borderId="59" applyAlignment="1" pivotButton="0" quotePrefix="0" xfId="1">
      <alignment horizontal="center" vertical="center" wrapText="1"/>
    </xf>
    <xf numFmtId="0" fontId="11" fillId="3" borderId="5" applyAlignment="1" pivotButton="0" quotePrefix="0" xfId="1">
      <alignment horizontal="center" vertical="center"/>
    </xf>
    <xf numFmtId="0" fontId="11" fillId="3" borderId="6" applyAlignment="1" pivotButton="0" quotePrefix="0" xfId="1">
      <alignment horizontal="center" vertical="center"/>
    </xf>
    <xf numFmtId="0" fontId="11" fillId="3" borderId="7" applyAlignment="1" pivotButton="0" quotePrefix="0" xfId="1">
      <alignment horizontal="center" vertical="center"/>
    </xf>
    <xf numFmtId="0" fontId="42" fillId="3" borderId="5" applyAlignment="1" pivotButton="0" quotePrefix="0" xfId="1">
      <alignment horizontal="center" vertical="center" wrapText="1"/>
    </xf>
    <xf numFmtId="0" fontId="42" fillId="3" borderId="7" applyAlignment="1" pivotButton="0" quotePrefix="0" xfId="1">
      <alignment horizontal="center" vertical="center" wrapText="1"/>
    </xf>
    <xf numFmtId="0" fontId="5" fillId="3" borderId="57" applyAlignment="1" pivotButton="0" quotePrefix="0" xfId="0">
      <alignment horizontal="center" vertical="center"/>
    </xf>
    <xf numFmtId="0" fontId="5" fillId="3" borderId="58" applyAlignment="1" pivotButton="0" quotePrefix="0" xfId="0">
      <alignment horizontal="center" vertical="center"/>
    </xf>
    <xf numFmtId="0" fontId="5" fillId="3" borderId="67" applyAlignment="1" pivotButton="0" quotePrefix="0" xfId="0">
      <alignment horizontal="center" vertical="center"/>
    </xf>
    <xf numFmtId="0" fontId="5" fillId="3" borderId="68" applyAlignment="1" pivotButton="0" quotePrefix="0" xfId="0">
      <alignment horizontal="center" vertical="center"/>
    </xf>
    <xf numFmtId="0" fontId="5" fillId="3" borderId="59" applyAlignment="1" pivotButton="0" quotePrefix="0" xfId="0">
      <alignment horizontal="center" vertical="center"/>
    </xf>
    <xf numFmtId="0" fontId="6" fillId="0" borderId="77" applyAlignment="1" applyProtection="1" pivotButton="0" quotePrefix="0" xfId="0">
      <alignment horizontal="center" vertical="center"/>
      <protection locked="1" hidden="1"/>
    </xf>
    <xf numFmtId="0" fontId="6" fillId="0" borderId="78" applyAlignment="1" applyProtection="1" pivotButton="0" quotePrefix="0" xfId="0">
      <alignment horizontal="center" vertical="center"/>
      <protection locked="1" hidden="1"/>
    </xf>
    <xf numFmtId="0" fontId="6" fillId="0" borderId="79" applyAlignment="1" applyProtection="1" pivotButton="0" quotePrefix="0" xfId="0">
      <alignment horizontal="center" vertical="center"/>
      <protection locked="1" hidden="1"/>
    </xf>
    <xf numFmtId="0" fontId="6" fillId="0" borderId="67" applyAlignment="1" applyProtection="1" pivotButton="0" quotePrefix="0" xfId="0">
      <alignment horizontal="center" vertical="center"/>
      <protection locked="1" hidden="1"/>
    </xf>
    <xf numFmtId="0" fontId="6" fillId="0" borderId="59" applyAlignment="1" applyProtection="1" pivotButton="0" quotePrefix="0" xfId="0">
      <alignment horizontal="center" vertical="center"/>
      <protection locked="1" hidden="1"/>
    </xf>
    <xf numFmtId="0" fontId="58" fillId="0" borderId="15" applyAlignment="1" applyProtection="1" pivotButton="0" quotePrefix="0" xfId="0">
      <alignment horizontal="left" vertical="center" wrapText="1"/>
      <protection locked="0" hidden="0"/>
    </xf>
    <xf numFmtId="0" fontId="58" fillId="0" borderId="60" applyAlignment="1" applyProtection="1" pivotButton="0" quotePrefix="0" xfId="0">
      <alignment horizontal="left" vertical="center" wrapText="1"/>
      <protection locked="0" hidden="0"/>
    </xf>
    <xf numFmtId="0" fontId="58" fillId="0" borderId="0" applyAlignment="1" applyProtection="1" pivotButton="0" quotePrefix="0" xfId="0">
      <alignment horizontal="left" vertical="center" wrapText="1"/>
      <protection locked="0" hidden="0"/>
    </xf>
    <xf numFmtId="0" fontId="58" fillId="0" borderId="18" applyAlignment="1" applyProtection="1" pivotButton="0" quotePrefix="0" xfId="0">
      <alignment horizontal="left" vertical="center" wrapText="1"/>
      <protection locked="0" hidden="0"/>
    </xf>
    <xf numFmtId="0" fontId="58" fillId="0" borderId="14" applyAlignment="1" applyProtection="1" pivotButton="0" quotePrefix="0" xfId="0">
      <alignment horizontal="left" vertical="center" wrapText="1"/>
      <protection locked="0" hidden="0"/>
    </xf>
    <xf numFmtId="0" fontId="58" fillId="0" borderId="56" applyAlignment="1" applyProtection="1" pivotButton="0" quotePrefix="0" xfId="0">
      <alignment horizontal="left" vertical="center" wrapText="1"/>
      <protection locked="0" hidden="0"/>
    </xf>
    <xf numFmtId="0" fontId="5" fillId="3" borderId="22" applyAlignment="1" pivotButton="0" quotePrefix="0" xfId="0">
      <alignment horizontal="center" vertical="center"/>
    </xf>
    <xf numFmtId="0" fontId="5" fillId="3" borderId="15" applyAlignment="1" pivotButton="0" quotePrefix="0" xfId="0">
      <alignment horizontal="center" vertical="center"/>
    </xf>
    <xf numFmtId="0" fontId="5" fillId="3" borderId="60" applyAlignment="1" pivotButton="0" quotePrefix="0" xfId="0">
      <alignment horizontal="center" vertical="center"/>
    </xf>
    <xf numFmtId="0" fontId="3" fillId="3" borderId="5" applyAlignment="1" pivotButton="0" quotePrefix="0" xfId="0">
      <alignment horizontal="left" vertical="center"/>
    </xf>
    <xf numFmtId="0" fontId="3" fillId="3" borderId="6" applyAlignment="1" pivotButton="0" quotePrefix="0" xfId="0">
      <alignment horizontal="left" vertical="center"/>
    </xf>
    <xf numFmtId="0" fontId="3" fillId="3" borderId="7" applyAlignment="1" pivotButton="0" quotePrefix="0" xfId="0">
      <alignment horizontal="left" vertical="center"/>
    </xf>
    <xf numFmtId="0" fontId="21" fillId="2" borderId="0" applyAlignment="1" pivotButton="0" quotePrefix="0" xfId="0">
      <alignment horizontal="center"/>
    </xf>
    <xf numFmtId="0" fontId="30" fillId="4" borderId="50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30" fillId="4" borderId="6" applyAlignment="1" pivotButton="0" quotePrefix="0" xfId="0">
      <alignment horizontal="center" vertical="center"/>
    </xf>
    <xf numFmtId="0" fontId="30" fillId="4" borderId="7" applyAlignment="1" pivotButton="0" quotePrefix="0" xfId="0">
      <alignment horizontal="center" vertical="center"/>
    </xf>
    <xf numFmtId="1" fontId="6" fillId="0" borderId="8" applyAlignment="1" applyProtection="1" pivotButton="0" quotePrefix="0" xfId="0">
      <alignment horizontal="center" vertical="center"/>
      <protection locked="0" hidden="0"/>
    </xf>
    <xf numFmtId="1" fontId="6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center" vertical="center"/>
    </xf>
    <xf numFmtId="0" fontId="23" fillId="2" borderId="0" applyAlignment="1" pivotButton="0" quotePrefix="0" xfId="0">
      <alignment horizontal="right" vertical="center"/>
    </xf>
    <xf numFmtId="0" fontId="30" fillId="4" borderId="1" applyAlignment="1" pivotButton="0" quotePrefix="0" xfId="0">
      <alignment horizontal="center" vertical="center"/>
    </xf>
    <xf numFmtId="0" fontId="3" fillId="4" borderId="5" applyAlignment="1" pivotButton="0" quotePrefix="0" xfId="0">
      <alignment horizontal="left" vertical="center"/>
    </xf>
    <xf numFmtId="0" fontId="3" fillId="4" borderId="6" applyAlignment="1" pivotButton="0" quotePrefix="0" xfId="0">
      <alignment horizontal="left" vertical="center"/>
    </xf>
    <xf numFmtId="0" fontId="3" fillId="4" borderId="7" applyAlignment="1" pivotButton="0" quotePrefix="0" xfId="0">
      <alignment horizontal="left" vertical="center"/>
    </xf>
    <xf numFmtId="0" fontId="4" fillId="2" borderId="0" applyAlignment="1" pivotButton="0" quotePrefix="0" xfId="0">
      <alignment horizontal="center"/>
    </xf>
    <xf numFmtId="0" fontId="23" fillId="2" borderId="0" applyAlignment="1" pivotButton="0" quotePrefix="0" xfId="0">
      <alignment horizontal="left" vertical="center"/>
    </xf>
    <xf numFmtId="0" fontId="27" fillId="0" borderId="10" applyAlignment="1" applyProtection="1" pivotButton="0" quotePrefix="0" xfId="0">
      <alignment horizontal="center" vertical="center"/>
      <protection locked="1" hidden="1"/>
    </xf>
    <xf numFmtId="0" fontId="27" fillId="0" borderId="12" applyAlignment="1" applyProtection="1" pivotButton="0" quotePrefix="0" xfId="0">
      <alignment horizontal="center" vertical="center"/>
      <protection locked="1" hidden="1"/>
    </xf>
    <xf numFmtId="1" fontId="41" fillId="0" borderId="10" applyAlignment="1" applyProtection="1" pivotButton="0" quotePrefix="0" xfId="0">
      <alignment horizontal="center" vertical="center"/>
      <protection locked="1" hidden="1"/>
    </xf>
    <xf numFmtId="1" fontId="41" fillId="0" borderId="12" applyAlignment="1" applyProtection="1" pivotButton="0" quotePrefix="0" xfId="0">
      <alignment horizontal="center" vertical="center"/>
      <protection locked="1" hidden="1"/>
    </xf>
    <xf numFmtId="14" fontId="9" fillId="2" borderId="3" applyAlignment="1" applyProtection="1" pivotButton="0" quotePrefix="0" xfId="0">
      <alignment horizontal="center" vertical="center"/>
      <protection locked="0" hidden="0"/>
    </xf>
    <xf numFmtId="0" fontId="55" fillId="2" borderId="0" applyAlignment="1" applyProtection="1" pivotButton="0" quotePrefix="0" xfId="0">
      <alignment horizontal="center"/>
      <protection locked="0" hidden="0"/>
    </xf>
    <xf numFmtId="0" fontId="55" fillId="2" borderId="3" applyAlignment="1" applyProtection="1" pivotButton="0" quotePrefix="0" xfId="0">
      <alignment horizontal="center"/>
      <protection locked="0" hidden="0"/>
    </xf>
    <xf numFmtId="2" fontId="7" fillId="0" borderId="10" applyAlignment="1" pivotButton="0" quotePrefix="0" xfId="0">
      <alignment horizontal="center" vertical="center" wrapText="1"/>
    </xf>
    <xf numFmtId="2" fontId="7" fillId="0" borderId="11" applyAlignment="1" pivotButton="0" quotePrefix="0" xfId="0">
      <alignment horizontal="center" vertical="center" wrapText="1"/>
    </xf>
    <xf numFmtId="0" fontId="6" fillId="2" borderId="0" applyAlignment="1" pivotButton="0" quotePrefix="0" xfId="0">
      <alignment horizontal="center" vertical="top" wrapText="1"/>
    </xf>
    <xf numFmtId="49" fontId="8" fillId="0" borderId="8" applyAlignment="1" applyProtection="1" pivotButton="0" quotePrefix="0" xfId="0">
      <alignment horizontal="center" vertical="center"/>
      <protection locked="0" hidden="0"/>
    </xf>
    <xf numFmtId="49" fontId="8" fillId="0" borderId="2" applyAlignment="1" applyProtection="1" pivotButton="0" quotePrefix="0" xfId="0">
      <alignment horizontal="center" vertical="center"/>
      <protection locked="0" hidden="0"/>
    </xf>
    <xf numFmtId="49" fontId="8" fillId="0" borderId="9" applyAlignment="1" applyProtection="1" pivotButton="0" quotePrefix="0" xfId="0">
      <alignment horizontal="center" vertical="center"/>
      <protection locked="0" hidden="0"/>
    </xf>
    <xf numFmtId="49" fontId="8" fillId="0" borderId="32" applyAlignment="1" applyProtection="1" pivotButton="0" quotePrefix="0" xfId="0">
      <alignment horizontal="center" vertical="center" wrapText="1"/>
      <protection locked="0" hidden="0"/>
    </xf>
    <xf numFmtId="49" fontId="8" fillId="0" borderId="3" applyAlignment="1" applyProtection="1" pivotButton="0" quotePrefix="0" xfId="0">
      <alignment horizontal="center" vertical="center" wrapText="1"/>
      <protection locked="0" hidden="0"/>
    </xf>
    <xf numFmtId="49" fontId="8" fillId="0" borderId="33" applyAlignment="1" applyProtection="1" pivotButton="0" quotePrefix="0" xfId="0">
      <alignment horizontal="center" vertical="center" wrapText="1"/>
      <protection locked="0" hidden="0"/>
    </xf>
    <xf numFmtId="2" fontId="7" fillId="0" borderId="8" applyAlignment="1" pivotButton="0" quotePrefix="0" xfId="0">
      <alignment horizontal="center" vertical="center"/>
    </xf>
    <xf numFmtId="2" fontId="7" fillId="0" borderId="2" applyAlignment="1" pivotButton="0" quotePrefix="0" xfId="0">
      <alignment horizontal="center" vertical="center"/>
    </xf>
    <xf numFmtId="2" fontId="7" fillId="0" borderId="9" applyAlignment="1" pivotButton="0" quotePrefix="0" xfId="0">
      <alignment horizontal="center" vertical="center"/>
    </xf>
    <xf numFmtId="2" fontId="7" fillId="0" borderId="12" applyAlignment="1" pivotButton="0" quotePrefix="0" xfId="0">
      <alignment horizontal="center" vertical="center" wrapText="1"/>
    </xf>
    <xf numFmtId="49" fontId="8" fillId="0" borderId="51" applyAlignment="1" applyProtection="1" pivotButton="0" quotePrefix="0" xfId="0">
      <alignment horizontal="center" vertical="center" wrapText="1"/>
      <protection locked="0" hidden="0"/>
    </xf>
    <xf numFmtId="49" fontId="8" fillId="0" borderId="13" applyAlignment="1" applyProtection="1" pivotButton="0" quotePrefix="0" xfId="0">
      <alignment horizontal="center" vertical="center" wrapText="1"/>
      <protection locked="0" hidden="0"/>
    </xf>
    <xf numFmtId="49" fontId="8" fillId="0" borderId="49" applyAlignment="1" applyProtection="1" pivotButton="0" quotePrefix="0" xfId="0">
      <alignment horizontal="center" vertical="center" wrapText="1"/>
      <protection locked="0" hidden="0"/>
    </xf>
    <xf numFmtId="2" fontId="7" fillId="0" borderId="19" applyAlignment="1" pivotButton="0" quotePrefix="0" xfId="0">
      <alignment horizontal="center" vertical="center" wrapText="1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vertical="center" wrapText="1"/>
    </xf>
    <xf numFmtId="1" fontId="41" fillId="0" borderId="8" applyAlignment="1" applyProtection="1" pivotButton="0" quotePrefix="0" xfId="0">
      <alignment horizontal="center" vertical="center"/>
      <protection locked="1" hidden="1"/>
    </xf>
    <xf numFmtId="1" fontId="41" fillId="0" borderId="9" applyAlignment="1" applyProtection="1" pivotButton="0" quotePrefix="0" xfId="0">
      <alignment horizontal="center" vertical="center"/>
      <protection locked="1" hidden="1"/>
    </xf>
    <xf numFmtId="0" fontId="16" fillId="2" borderId="36" applyAlignment="1" pivotButton="0" quotePrefix="0" xfId="0">
      <alignment horizontal="left" vertical="center"/>
    </xf>
    <xf numFmtId="0" fontId="16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/>
    </xf>
    <xf numFmtId="0" fontId="8" fillId="3" borderId="1" applyAlignment="1" pivotButton="0" quotePrefix="0" xfId="0">
      <alignment horizontal="center" vertical="center"/>
    </xf>
    <xf numFmtId="0" fontId="8" fillId="3" borderId="5" applyAlignment="1" pivotButton="0" quotePrefix="0" xfId="0">
      <alignment horizontal="center" vertical="center"/>
    </xf>
    <xf numFmtId="0" fontId="16" fillId="0" borderId="8" applyAlignment="1" applyProtection="1" pivotButton="0" quotePrefix="0" xfId="0">
      <alignment horizontal="center" vertical="center"/>
      <protection locked="1" hidden="1"/>
    </xf>
    <xf numFmtId="0" fontId="16" fillId="0" borderId="9" applyAlignment="1" applyProtection="1" pivotButton="0" quotePrefix="0" xfId="0">
      <alignment horizontal="center" vertical="center"/>
      <protection locked="1" hidden="1"/>
    </xf>
    <xf numFmtId="0" fontId="16" fillId="0" borderId="10" applyAlignment="1" applyProtection="1" pivotButton="0" quotePrefix="0" xfId="0">
      <alignment horizontal="center" vertical="center"/>
      <protection locked="1" hidden="1"/>
    </xf>
    <xf numFmtId="0" fontId="16" fillId="0" borderId="12" applyAlignment="1" applyProtection="1" pivotButton="0" quotePrefix="0" xfId="0">
      <alignment horizontal="center" vertical="center"/>
      <protection locked="1" hidden="1"/>
    </xf>
    <xf numFmtId="0" fontId="16" fillId="0" borderId="20" applyAlignment="1" applyProtection="1" pivotButton="0" quotePrefix="0" xfId="0">
      <alignment horizontal="center" vertical="center"/>
      <protection locked="1" hidden="1"/>
    </xf>
    <xf numFmtId="0" fontId="16" fillId="0" borderId="21" applyAlignment="1" applyProtection="1" pivotButton="0" quotePrefix="0" xfId="0">
      <alignment horizontal="center" vertical="center"/>
      <protection locked="1" hidden="1"/>
    </xf>
    <xf numFmtId="0" fontId="5" fillId="0" borderId="10" applyAlignment="1" applyProtection="1" pivotButton="0" quotePrefix="0" xfId="0">
      <alignment horizontal="center" vertical="center"/>
      <protection locked="1" hidden="1"/>
    </xf>
    <xf numFmtId="0" fontId="5" fillId="0" borderId="12" applyAlignment="1" applyProtection="1" pivotButton="0" quotePrefix="0" xfId="0">
      <alignment horizontal="center" vertical="center"/>
      <protection locked="1" hidden="1"/>
    </xf>
    <xf numFmtId="0" fontId="8" fillId="3" borderId="6" applyAlignment="1" pivotButton="0" quotePrefix="0" xfId="0">
      <alignment horizontal="center" vertical="center"/>
    </xf>
    <xf numFmtId="0" fontId="8" fillId="3" borderId="7" applyAlignment="1" pivotButton="0" quotePrefix="0" xfId="0">
      <alignment horizontal="center" vertical="center"/>
    </xf>
    <xf numFmtId="0" fontId="28" fillId="2" borderId="22" applyAlignment="1" applyProtection="1" pivotButton="0" quotePrefix="0" xfId="0">
      <alignment horizontal="left" vertical="center"/>
      <protection locked="0" hidden="0"/>
    </xf>
    <xf numFmtId="0" fontId="28" fillId="2" borderId="15" applyAlignment="1" applyProtection="1" pivotButton="0" quotePrefix="0" xfId="0">
      <alignment horizontal="left" vertical="center"/>
      <protection locked="0" hidden="0"/>
    </xf>
    <xf numFmtId="0" fontId="28" fillId="2" borderId="60" applyAlignment="1" applyProtection="1" pivotButton="0" quotePrefix="0" xfId="0">
      <alignment horizontal="left" vertical="center"/>
      <protection locked="0" hidden="0"/>
    </xf>
    <xf numFmtId="0" fontId="6" fillId="2" borderId="10" applyAlignment="1" applyProtection="1" pivotButton="0" quotePrefix="0" xfId="0">
      <alignment horizontal="center" vertical="center"/>
      <protection locked="0" hidden="0"/>
    </xf>
    <xf numFmtId="0" fontId="6" fillId="2" borderId="12" applyAlignment="1" applyProtection="1" pivotButton="0" quotePrefix="0" xfId="0">
      <alignment horizontal="center" vertical="center"/>
      <protection locked="0" hidden="0"/>
    </xf>
    <xf numFmtId="0" fontId="44" fillId="2" borderId="15" applyAlignment="1" applyProtection="1" pivotButton="0" quotePrefix="0" xfId="0">
      <alignment horizontal="center" vertical="center"/>
      <protection locked="0" hidden="0"/>
    </xf>
    <xf numFmtId="0" fontId="30" fillId="4" borderId="50" applyAlignment="1" pivotButton="0" quotePrefix="0" xfId="0">
      <alignment horizontal="center" vertical="center" wrapText="1"/>
    </xf>
    <xf numFmtId="0" fontId="30" fillId="4" borderId="22" applyAlignment="1" pivotButton="0" quotePrefix="0" xfId="0">
      <alignment horizontal="center" vertical="center" wrapText="1"/>
    </xf>
    <xf numFmtId="0" fontId="6" fillId="2" borderId="15" applyAlignment="1" pivotButton="0" quotePrefix="0" xfId="0">
      <alignment horizontal="center" vertical="top" wrapText="1"/>
    </xf>
    <xf numFmtId="0" fontId="4" fillId="2" borderId="19" applyAlignment="1" applyProtection="1" pivotButton="0" quotePrefix="0" xfId="0">
      <alignment horizontal="left" vertical="center"/>
      <protection locked="0" hidden="0"/>
    </xf>
    <xf numFmtId="0" fontId="4" fillId="2" borderId="14" applyAlignment="1" applyProtection="1" pivotButton="0" quotePrefix="0" xfId="0">
      <alignment horizontal="left" vertical="center"/>
      <protection locked="0" hidden="0"/>
    </xf>
    <xf numFmtId="0" fontId="4" fillId="2" borderId="56" applyAlignment="1" applyProtection="1" pivotButton="0" quotePrefix="0" xfId="0">
      <alignment horizontal="left" vertical="center"/>
      <protection locked="0" hidden="0"/>
    </xf>
    <xf numFmtId="0" fontId="6" fillId="2" borderId="51" applyAlignment="1" applyProtection="1" pivotButton="0" quotePrefix="0" xfId="0">
      <alignment horizontal="center" vertical="center"/>
      <protection locked="0" hidden="0"/>
    </xf>
    <xf numFmtId="0" fontId="6" fillId="2" borderId="49" applyAlignment="1" applyProtection="1" pivotButton="0" quotePrefix="0" xfId="0">
      <alignment horizontal="center" vertical="center"/>
      <protection locked="0" hidden="0"/>
    </xf>
    <xf numFmtId="0" fontId="8" fillId="0" borderId="8" applyAlignment="1" applyProtection="1" pivotButton="0" quotePrefix="0" xfId="0">
      <alignment horizontal="center" vertical="center"/>
      <protection locked="0" hidden="0"/>
    </xf>
    <xf numFmtId="0" fontId="8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left" vertical="center"/>
    </xf>
    <xf numFmtId="0" fontId="16" fillId="0" borderId="51" applyAlignment="1" applyProtection="1" pivotButton="0" quotePrefix="0" xfId="0">
      <alignment horizontal="center" vertical="center"/>
      <protection locked="1" hidden="1"/>
    </xf>
    <xf numFmtId="0" fontId="16" fillId="0" borderId="49" applyAlignment="1" applyProtection="1" pivotButton="0" quotePrefix="0" xfId="0">
      <alignment horizontal="center" vertical="center"/>
      <protection locked="1" hidden="1"/>
    </xf>
    <xf numFmtId="0" fontId="8" fillId="3" borderId="22" applyAlignment="1" pivotButton="0" quotePrefix="0" xfId="0">
      <alignment horizontal="center" vertical="center"/>
    </xf>
    <xf numFmtId="0" fontId="8" fillId="3" borderId="15" applyAlignment="1" pivotButton="0" quotePrefix="0" xfId="0">
      <alignment horizontal="center" vertical="center"/>
    </xf>
    <xf numFmtId="0" fontId="16" fillId="0" borderId="20" applyAlignment="1" applyProtection="1" pivotButton="0" quotePrefix="0" xfId="0">
      <alignment horizontal="left" vertical="center"/>
      <protection locked="1" hidden="1"/>
    </xf>
    <xf numFmtId="0" fontId="16" fillId="0" borderId="17" applyAlignment="1" applyProtection="1" pivotButton="0" quotePrefix="0" xfId="0">
      <alignment horizontal="left" vertical="center"/>
      <protection locked="1" hidden="1"/>
    </xf>
    <xf numFmtId="0" fontId="16" fillId="0" borderId="21" applyAlignment="1" applyProtection="1" pivotButton="0" quotePrefix="0" xfId="0">
      <alignment horizontal="left" vertical="center"/>
      <protection locked="1" hidden="1"/>
    </xf>
    <xf numFmtId="49" fontId="8" fillId="0" borderId="8" applyAlignment="1" pivotButton="0" quotePrefix="0" xfId="0">
      <alignment horizontal="center" vertical="center"/>
    </xf>
    <xf numFmtId="49" fontId="8" fillId="0" borderId="2" applyAlignment="1" pivotButton="0" quotePrefix="0" xfId="0">
      <alignment horizontal="center" vertical="center"/>
    </xf>
    <xf numFmtId="49" fontId="8" fillId="0" borderId="20" applyAlignment="1" pivotButton="0" quotePrefix="0" xfId="0">
      <alignment horizontal="center" vertical="center"/>
    </xf>
    <xf numFmtId="49" fontId="8" fillId="0" borderId="17" applyAlignment="1" pivotButton="0" quotePrefix="0" xfId="0">
      <alignment horizontal="center" vertical="center"/>
    </xf>
    <xf numFmtId="2" fontId="7" fillId="0" borderId="32" applyAlignment="1" pivotButton="0" quotePrefix="0" xfId="0">
      <alignment horizontal="center" vertical="center"/>
    </xf>
    <xf numFmtId="2" fontId="7" fillId="0" borderId="3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49" fontId="8" fillId="0" borderId="51" applyAlignment="1" pivotButton="0" quotePrefix="0" xfId="0">
      <alignment horizontal="center" vertical="center" wrapText="1"/>
    </xf>
    <xf numFmtId="49" fontId="8" fillId="0" borderId="13" applyAlignment="1" pivotButton="0" quotePrefix="0" xfId="0">
      <alignment horizontal="center" vertical="center" wrapText="1"/>
    </xf>
    <xf numFmtId="0" fontId="41" fillId="0" borderId="51" applyAlignment="1" applyProtection="1" pivotButton="0" quotePrefix="0" xfId="0">
      <alignment horizontal="center" vertical="center"/>
      <protection locked="1" hidden="1"/>
    </xf>
    <xf numFmtId="0" fontId="41" fillId="0" borderId="49" applyAlignment="1" applyProtection="1" pivotButton="0" quotePrefix="0" xfId="0">
      <alignment horizontal="center" vertical="center"/>
      <protection locked="1" hidden="1"/>
    </xf>
    <xf numFmtId="0" fontId="6" fillId="2" borderId="8" applyAlignment="1" applyProtection="1" pivotButton="0" quotePrefix="0" xfId="0">
      <alignment horizontal="center" vertical="center"/>
      <protection locked="0" hidden="0"/>
    </xf>
    <xf numFmtId="0" fontId="6" fillId="2" borderId="9" applyAlignment="1" applyProtection="1" pivotButton="0" quotePrefix="0" xfId="0">
      <alignment horizontal="center" vertical="center"/>
      <protection locked="0" hidden="0"/>
    </xf>
    <xf numFmtId="0" fontId="27" fillId="0" borderId="51" applyAlignment="1" applyProtection="1" pivotButton="0" quotePrefix="0" xfId="0">
      <alignment horizontal="center" vertical="center"/>
      <protection locked="1" hidden="1"/>
    </xf>
    <xf numFmtId="0" fontId="27" fillId="0" borderId="49" applyAlignment="1" applyProtection="1" pivotButton="0" quotePrefix="0" xfId="0">
      <alignment horizontal="center" vertical="center"/>
      <protection locked="1" hidden="1"/>
    </xf>
    <xf numFmtId="0" fontId="6" fillId="0" borderId="69" applyAlignment="1" applyProtection="1" pivotButton="0" quotePrefix="0" xfId="0">
      <alignment horizontal="center" vertical="center"/>
      <protection locked="1" hidden="1"/>
    </xf>
    <xf numFmtId="0" fontId="6" fillId="0" borderId="70" applyAlignment="1" applyProtection="1" pivotButton="0" quotePrefix="0" xfId="0">
      <alignment horizontal="center" vertical="center"/>
      <protection locked="1" hidden="1"/>
    </xf>
    <xf numFmtId="0" fontId="6" fillId="0" borderId="71" applyAlignment="1" applyProtection="1" pivotButton="0" quotePrefix="0" xfId="0">
      <alignment horizontal="center" vertical="center"/>
      <protection locked="1" hidden="1"/>
    </xf>
    <xf numFmtId="0" fontId="6" fillId="0" borderId="72" applyAlignment="1" applyProtection="1" pivotButton="0" quotePrefix="0" xfId="0">
      <alignment horizontal="center" vertical="center"/>
      <protection locked="1" hidden="1"/>
    </xf>
    <xf numFmtId="0" fontId="6" fillId="0" borderId="73" applyAlignment="1" applyProtection="1" pivotButton="0" quotePrefix="0" xfId="0">
      <alignment horizontal="center" vertical="center"/>
      <protection locked="1" hidden="1"/>
    </xf>
    <xf numFmtId="0" fontId="6" fillId="0" borderId="43" applyAlignment="1" applyProtection="1" pivotButton="0" quotePrefix="0" xfId="0">
      <alignment horizontal="center" vertical="center"/>
      <protection locked="1" hidden="1"/>
    </xf>
    <xf numFmtId="0" fontId="6" fillId="0" borderId="68" applyAlignment="1" applyProtection="1" pivotButton="0" quotePrefix="0" xfId="0">
      <alignment horizontal="center" vertical="center"/>
      <protection locked="1" hidden="1"/>
    </xf>
    <xf numFmtId="0" fontId="14" fillId="6" borderId="38" applyAlignment="1" pivotButton="0" quotePrefix="0" xfId="0">
      <alignment horizontal="center" vertical="center"/>
    </xf>
    <xf numFmtId="0" fontId="14" fillId="6" borderId="39" applyAlignment="1" pivotButton="0" quotePrefix="0" xfId="0">
      <alignment horizontal="center" vertical="center"/>
    </xf>
    <xf numFmtId="0" fontId="13" fillId="6" borderId="63" applyAlignment="1" pivotButton="0" quotePrefix="0" xfId="0">
      <alignment horizontal="center" vertical="center"/>
    </xf>
    <xf numFmtId="0" fontId="13" fillId="6" borderId="52" applyAlignment="1" pivotButton="0" quotePrefix="0" xfId="0">
      <alignment horizontal="center" vertical="center"/>
    </xf>
    <xf numFmtId="0" fontId="39" fillId="9" borderId="47" applyAlignment="1" pivotButton="0" quotePrefix="0" xfId="0">
      <alignment horizontal="center" vertical="center"/>
    </xf>
    <xf numFmtId="0" fontId="39" fillId="9" borderId="37" applyAlignment="1" pivotButton="0" quotePrefix="0" xfId="0">
      <alignment horizontal="center" vertical="center"/>
    </xf>
    <xf numFmtId="0" fontId="36" fillId="5" borderId="47" applyAlignment="1" pivotButton="0" quotePrefix="0" xfId="0">
      <alignment horizontal="center" vertical="center"/>
    </xf>
    <xf numFmtId="0" fontId="36" fillId="5" borderId="37" applyAlignment="1" pivotButton="0" quotePrefix="0" xfId="0">
      <alignment horizontal="center" vertical="center"/>
    </xf>
    <xf numFmtId="0" fontId="40" fillId="8" borderId="0" applyAlignment="1" pivotButton="0" quotePrefix="0" xfId="0">
      <alignment horizontal="center" vertical="center"/>
    </xf>
    <xf numFmtId="0" fontId="0" fillId="0" borderId="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4" borderId="1" applyAlignment="1" pivotButton="0" quotePrefix="0" xfId="0">
      <alignment horizontal="left" vertical="center"/>
    </xf>
    <xf numFmtId="0" fontId="0" fillId="0" borderId="7" pivotButton="0" quotePrefix="0" xfId="0"/>
    <xf numFmtId="0" fontId="0" fillId="0" borderId="2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60" pivotButton="0" quotePrefix="0" xfId="0"/>
    <xf numFmtId="1" fontId="6" fillId="0" borderId="45" applyAlignment="1" applyProtection="1" pivotButton="0" quotePrefix="0" xfId="0">
      <alignment horizontal="center" vertical="center"/>
      <protection locked="0" hidden="0"/>
    </xf>
    <xf numFmtId="0" fontId="0" fillId="0" borderId="9" applyProtection="1" pivotButton="0" quotePrefix="0" xfId="0">
      <protection locked="0" hidden="0"/>
    </xf>
    <xf numFmtId="0" fontId="16" fillId="0" borderId="55" applyAlignment="1" applyProtection="1" pivotButton="0" quotePrefix="0" xfId="0">
      <alignment horizontal="center" vertical="center"/>
      <protection locked="1" hidden="1"/>
    </xf>
    <xf numFmtId="0" fontId="0" fillId="0" borderId="3" applyProtection="1" pivotButton="0" quotePrefix="0" xfId="0">
      <protection locked="1" hidden="1"/>
    </xf>
    <xf numFmtId="0" fontId="0" fillId="0" borderId="33" applyProtection="1" pivotButton="0" quotePrefix="0" xfId="0">
      <protection locked="1" hidden="1"/>
    </xf>
    <xf numFmtId="0" fontId="0" fillId="0" borderId="71" applyProtection="1" pivotButton="0" quotePrefix="0" xfId="0">
      <protection locked="1" hidden="1"/>
    </xf>
    <xf numFmtId="0" fontId="0" fillId="0" borderId="2" applyProtection="1" pivotButton="0" quotePrefix="0" xfId="0">
      <protection locked="1" hidden="1"/>
    </xf>
    <xf numFmtId="1" fontId="6" fillId="0" borderId="4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74" applyProtection="1" pivotButton="0" quotePrefix="0" xfId="0">
      <protection locked="1" hidden="1"/>
    </xf>
    <xf numFmtId="0" fontId="0" fillId="0" borderId="11" applyProtection="1" pivotButton="0" quotePrefix="0" xfId="0">
      <protection locked="1" hidden="1"/>
    </xf>
    <xf numFmtId="0" fontId="0" fillId="0" borderId="79" applyProtection="1" pivotButton="0" quotePrefix="0" xfId="0">
      <protection locked="1" hidden="1"/>
    </xf>
    <xf numFmtId="0" fontId="0" fillId="0" borderId="14" applyProtection="1" pivotButton="0" quotePrefix="0" xfId="0">
      <protection locked="1" hidden="1"/>
    </xf>
    <xf numFmtId="0" fontId="58" fillId="0" borderId="7" applyAlignment="1" applyProtection="1" pivotButton="0" quotePrefix="0" xfId="0">
      <alignment horizontal="left" vertical="center" wrapText="1"/>
      <protection locked="0" hidden="0"/>
    </xf>
    <xf numFmtId="0" fontId="0" fillId="0" borderId="60" applyProtection="1" pivotButton="0" quotePrefix="0" xfId="0">
      <protection locked="0" hidden="0"/>
    </xf>
    <xf numFmtId="0" fontId="0" fillId="0" borderId="18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0" fontId="3" fillId="3" borderId="1" applyAlignment="1" pivotButton="0" quotePrefix="0" xfId="0">
      <alignment horizontal="left" vertical="center"/>
    </xf>
    <xf numFmtId="0" fontId="3" fillId="3" borderId="1" applyAlignment="1" pivotButton="0" quotePrefix="0" xfId="0">
      <alignment horizontal="center" vertical="center"/>
    </xf>
    <xf numFmtId="0" fontId="5" fillId="3" borderId="50" applyAlignment="1" pivotButton="0" quotePrefix="0" xfId="0">
      <alignment horizontal="center" vertical="center"/>
    </xf>
    <xf numFmtId="0" fontId="11" fillId="3" borderId="1" applyAlignment="1" pivotButton="0" quotePrefix="0" xfId="1">
      <alignment horizontal="center" vertical="center"/>
    </xf>
    <xf numFmtId="0" fontId="0" fillId="0" borderId="79" pivotButton="0" quotePrefix="0" xfId="0"/>
    <xf numFmtId="0" fontId="42" fillId="3" borderId="1" applyAlignment="1" pivotButton="0" quotePrefix="0" xfId="1">
      <alignment horizontal="center" vertical="center" wrapText="1"/>
    </xf>
    <xf numFmtId="0" fontId="16" fillId="0" borderId="45" applyAlignment="1" applyProtection="1" pivotButton="0" quotePrefix="0" xfId="0">
      <alignment horizontal="center" vertical="center"/>
      <protection locked="1" hidden="1"/>
    </xf>
    <xf numFmtId="0" fontId="0" fillId="0" borderId="9" applyProtection="1" pivotButton="0" quotePrefix="0" xfId="0">
      <protection locked="1" hidden="1"/>
    </xf>
    <xf numFmtId="0" fontId="27" fillId="0" borderId="45" applyAlignment="1" applyProtection="1" pivotButton="0" quotePrefix="0" xfId="0">
      <alignment horizontal="center" vertical="center"/>
      <protection locked="1" hidden="1"/>
    </xf>
    <xf numFmtId="1" fontId="41" fillId="0" borderId="45" applyAlignment="1" applyProtection="1" pivotButton="0" quotePrefix="0" xfId="0">
      <alignment horizontal="center" vertical="center"/>
      <protection locked="1" hidden="1"/>
    </xf>
    <xf numFmtId="0" fontId="6" fillId="2" borderId="45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1" hidden="1"/>
    </xf>
    <xf numFmtId="0" fontId="27" fillId="0" borderId="4" applyAlignment="1" applyProtection="1" pivotButton="0" quotePrefix="0" xfId="0">
      <alignment horizontal="center" vertical="center"/>
      <protection locked="1" hidden="1"/>
    </xf>
    <xf numFmtId="1" fontId="41" fillId="0" borderId="4" applyAlignment="1" applyProtection="1" pivotButton="0" quotePrefix="0" xfId="0">
      <alignment horizontal="center" vertical="center"/>
      <protection locked="1" hidden="1"/>
    </xf>
    <xf numFmtId="0" fontId="6" fillId="2" borderId="4" applyAlignment="1" applyProtection="1" pivotButton="0" quotePrefix="0" xfId="0">
      <alignment horizontal="center" vertical="center"/>
      <protection locked="0" hidden="0"/>
    </xf>
    <xf numFmtId="0" fontId="5" fillId="0" borderId="4" applyAlignment="1" applyProtection="1" pivotButton="0" quotePrefix="0" xfId="0">
      <alignment horizontal="center" vertical="center"/>
      <protection locked="1" hidden="1"/>
    </xf>
    <xf numFmtId="0" fontId="16" fillId="0" borderId="83" applyAlignment="1" applyProtection="1" pivotButton="0" quotePrefix="0" xfId="0">
      <alignment horizontal="left" vertical="center"/>
      <protection locked="1" hidden="1"/>
    </xf>
    <xf numFmtId="0" fontId="0" fillId="0" borderId="17" applyProtection="1" pivotButton="0" quotePrefix="0" xfId="0">
      <protection locked="1" hidden="1"/>
    </xf>
    <xf numFmtId="0" fontId="0" fillId="0" borderId="21" applyProtection="1" pivotButton="0" quotePrefix="0" xfId="0">
      <protection locked="1" hidden="1"/>
    </xf>
    <xf numFmtId="0" fontId="16" fillId="0" borderId="83" applyAlignment="1" applyProtection="1" pivotButton="0" quotePrefix="0" xfId="0">
      <alignment horizontal="center" vertical="center"/>
      <protection locked="1" hidden="1"/>
    </xf>
    <xf numFmtId="0" fontId="0" fillId="0" borderId="49" applyProtection="1" pivotButton="0" quotePrefix="0" xfId="0">
      <protection locked="1" hidden="1"/>
    </xf>
    <xf numFmtId="0" fontId="27" fillId="0" borderId="48" applyAlignment="1" applyProtection="1" pivotButton="0" quotePrefix="0" xfId="0">
      <alignment horizontal="center" vertical="center"/>
      <protection locked="1" hidden="1"/>
    </xf>
    <xf numFmtId="0" fontId="41" fillId="0" borderId="48" applyAlignment="1" applyProtection="1" pivotButton="0" quotePrefix="0" xfId="0">
      <alignment horizontal="center" vertical="center"/>
      <protection locked="1" hidden="1"/>
    </xf>
    <xf numFmtId="0" fontId="6" fillId="2" borderId="48" applyAlignment="1" applyProtection="1" pivotButton="0" quotePrefix="0" xfId="0">
      <alignment horizontal="center" vertical="center"/>
      <protection locked="0" hidden="0"/>
    </xf>
    <xf numFmtId="0" fontId="0" fillId="0" borderId="49" applyProtection="1" pivotButton="0" quotePrefix="0" xfId="0">
      <protection locked="0" hidden="0"/>
    </xf>
    <xf numFmtId="0" fontId="0" fillId="0" borderId="2" pivotButton="0" quotePrefix="0" xfId="0"/>
    <xf numFmtId="49" fontId="8" fillId="0" borderId="45" applyAlignment="1" applyProtection="1" pivotButton="0" quotePrefix="0" xfId="0">
      <alignment horizontal="center" vertical="center"/>
      <protection locked="0" hidden="0"/>
    </xf>
    <xf numFmtId="2" fontId="7" fillId="0" borderId="45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3" pivotButton="0" quotePrefix="0" xfId="0"/>
    <xf numFmtId="49" fontId="8" fillId="0" borderId="55" applyAlignment="1" applyProtection="1" pivotButton="0" quotePrefix="0" xfId="0">
      <alignment horizontal="center" vertical="center" wrapText="1"/>
      <protection locked="0" hidden="0"/>
    </xf>
    <xf numFmtId="0" fontId="0" fillId="0" borderId="33" applyProtection="1" pivotButton="0" quotePrefix="0" xfId="0">
      <protection locked="0" hidden="0"/>
    </xf>
    <xf numFmtId="2" fontId="7" fillId="0" borderId="55" applyAlignment="1" pivotButton="0" quotePrefix="0" xfId="0">
      <alignment horizontal="center" vertical="center" wrapText="1"/>
    </xf>
    <xf numFmtId="0" fontId="0" fillId="0" borderId="33" pivotButton="0" quotePrefix="0" xfId="0"/>
    <xf numFmtId="0" fontId="0" fillId="0" borderId="17" pivotButton="0" quotePrefix="0" xfId="0"/>
    <xf numFmtId="2" fontId="7" fillId="0" borderId="4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49" fontId="8" fillId="0" borderId="48" applyAlignment="1" applyProtection="1" pivotButton="0" quotePrefix="0" xfId="0">
      <alignment horizontal="center" vertical="center" wrapText="1"/>
      <protection locked="0" hidden="0"/>
    </xf>
    <xf numFmtId="0" fontId="0" fillId="0" borderId="13" applyProtection="1" pivotButton="0" quotePrefix="0" xfId="0">
      <protection locked="0" hidden="0"/>
    </xf>
    <xf numFmtId="2" fontId="7" fillId="0" borderId="46" applyAlignment="1" pivotButton="0" quotePrefix="0" xfId="0">
      <alignment horizontal="center" vertical="center" wrapText="1"/>
    </xf>
    <xf numFmtId="0" fontId="0" fillId="0" borderId="56" pivotButton="0" quotePrefix="0" xfId="0"/>
    <xf numFmtId="0" fontId="28" fillId="2" borderId="50" applyAlignment="1" applyProtection="1" pivotButton="0" quotePrefix="0" xfId="0">
      <alignment horizontal="left" vertical="center"/>
      <protection locked="0" hidden="0"/>
    </xf>
    <xf numFmtId="0" fontId="4" fillId="2" borderId="46" applyAlignment="1" applyProtection="1" pivotButton="0" quotePrefix="0" xfId="0">
      <alignment horizontal="left" vertical="center"/>
      <protection locked="0" hidden="0"/>
    </xf>
    <xf numFmtId="0" fontId="0" fillId="0" borderId="86" pivotButton="0" quotePrefix="0" xfId="0"/>
    <xf numFmtId="0" fontId="13" fillId="6" borderId="40" applyAlignment="1" pivotButton="0" quotePrefix="0" xfId="0">
      <alignment horizontal="center" vertical="center"/>
    </xf>
    <xf numFmtId="0" fontId="0" fillId="0" borderId="52" pivotButton="0" quotePrefix="0" xfId="0"/>
    <xf numFmtId="0" fontId="36" fillId="5" borderId="88" applyAlignment="1" pivotButton="0" quotePrefix="0" xfId="0">
      <alignment horizontal="center" vertical="center"/>
    </xf>
    <xf numFmtId="0" fontId="39" fillId="9" borderId="88" applyAlignment="1" pivotButton="0" quotePrefix="0" xfId="0">
      <alignment horizontal="center" vertical="center"/>
    </xf>
    <xf numFmtId="0" fontId="0" fillId="0" borderId="37" pivotButton="0" quotePrefix="0" xfId="0"/>
  </cellXfs>
  <cellStyles count="6">
    <cellStyle name="Normal" xfId="0" builtinId="0"/>
    <cellStyle name="Normal 2" xfId="1"/>
    <cellStyle name="Normal 2 2" xfId="2"/>
    <cellStyle name="Normal 3" xfId="3"/>
    <cellStyle name="Normal_FQ-OPE-01 Cadena de Custodia para Muestras de Aguas" xfId="4"/>
    <cellStyle name="Hipervínculo" xfId="5" builtinId="8"/>
  </cellStyles>
  <dxfs count="1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6"/>
        <vertAlign val="baseline"/>
        <scheme val="minor"/>
      </font>
      <fill>
        <patternFill patternType="solid">
          <fgColor indexed="64"/>
          <bgColor rgb="FF7030A0"/>
        </patternFill>
      </fill>
      <alignment horizontal="center" vertical="center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4"/>
        <vertAlign val="baseline"/>
        <scheme val="minor"/>
      </font>
      <fill>
        <patternFill patternType="solid">
          <fgColor indexed="64"/>
          <bgColor rgb="FFFF0000"/>
        </patternFill>
      </fill>
      <alignment horizontal="center" vertical="center"/>
    </dxf>
    <dxf>
      <fill>
        <patternFill>
          <fgColor indexed="64"/>
          <bgColor indexed="6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indexed="64"/>
          <bgColor indexed="65"/>
        </patternFill>
      </fill>
    </dxf>
    <dxf>
      <font>
        <name val="Calibri"/>
        <strike val="0"/>
        <outline val="0"/>
        <shadow val="0"/>
        <condense val="0"/>
        <color theme="1"/>
        <extend val="0"/>
        <sz val="14"/>
        <vertAlign val="baseline"/>
        <scheme val="minor"/>
      </font>
      <fill>
        <patternFill patternType="solid">
          <fgColor indexed="64"/>
          <bgColor rgb="FFFFFF00"/>
        </patternFill>
      </fill>
      <alignment horizontal="center" vertical="center"/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</dxf>
    <dxf>
      <border outline="0">
        <bottom style="medium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theme="1"/>
        <extend val="0"/>
        <sz val="18"/>
        <vertAlign val="baseline"/>
        <scheme val="minor"/>
      </font>
      <fill>
        <patternFill patternType="solid">
          <fgColor indexed="64"/>
          <bgColor rgb="FF92D050"/>
        </patternFill>
      </fill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="http://schemas.openxmlformats.org/drawingml/2006/spreadsheetDrawing">
  <twoCellAnchor editAs="oneCell">
    <from>
      <col>0</col>
      <colOff>15407</colOff>
      <row>0</row>
      <rowOff>15242</rowOff>
    </from>
    <to>
      <col>5</col>
      <colOff>106963</colOff>
      <row>1</row>
      <rowOff>152299</rowOff>
    </to>
    <pic>
      <nvPicPr>
        <cNvPr id="5" name="Imagen 4"/>
        <cNvPicPr/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l="63408" t="11490" r="-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5407" y="15242"/>
          <a:ext cx="2438354" cy="716663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1:A172" headerRowCount="1" totalsRowShown="0" headerRowDxfId="13" dataDxfId="11" headerRowBorderDxfId="12" tableBorderDxfId="10">
  <autoFilter ref="A1:A172"/>
  <tableColumns count="1">
    <tableColumn id="1" name="PARAMETRO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4" displayName="Tabla4" ref="B2:B34" headerRowCount="1" totalsRowShown="0" headerRowDxfId="8" dataDxfId="7" tableBorderDxfId="6">
  <autoFilter ref="B2:B34"/>
  <tableColumns count="1">
    <tableColumn id="1" name="MATRICES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5" displayName="Tabla5" ref="E2:E5" headerRowCount="1" totalsRowShown="0" headerRowDxfId="4" tableBorderDxfId="3">
  <autoFilter ref="E2:E5"/>
  <tableColumns count="1">
    <tableColumn id="1" name="MUESTREADO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6" displayName="Tabla6" ref="H2:H22" headerRowCount="1" totalsRowShown="0" headerRowDxfId="2" tableBorderDxfId="1">
  <autoFilter ref="H2:H22"/>
  <tableColumns count="1">
    <tableColumn id="1" name="COMERCI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mailto:jchora@socosani.com%20" TargetMode="External" Id="rId1"/><Relationship Type="http://schemas.openxmlformats.org/officeDocument/2006/relationships/drawing" Target="/xl/drawings/drawing1.xml" Id="rId2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table" Target="/xl/tables/table3.xml" Id="rId2"/><Relationship Type="http://schemas.openxmlformats.org/officeDocument/2006/relationships/table" Target="/xl/tables/table4.xml" Id="rId3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AF88"/>
  <sheetViews>
    <sheetView showGridLines="0" tabSelected="1" topLeftCell="A5" zoomScale="56" zoomScaleNormal="85" zoomScaleSheetLayoutView="70" zoomScalePageLayoutView="85" workbookViewId="0">
      <selection activeCell="W38" sqref="W38"/>
    </sheetView>
  </sheetViews>
  <sheetFormatPr baseColWidth="10" defaultColWidth="11" defaultRowHeight="15.5"/>
  <cols>
    <col width="5.7265625" customWidth="1" style="71" min="1" max="1"/>
    <col width="13.453125" customWidth="1" style="71" min="2" max="2"/>
    <col width="6" customWidth="1" style="71" min="3" max="4"/>
    <col width="4" customWidth="1" style="71" min="5" max="5"/>
    <col width="4.1796875" customWidth="1" style="71" min="6" max="6"/>
    <col width="4.26953125" customWidth="1" style="71" min="7" max="7"/>
    <col width="4" customWidth="1" style="71" min="8" max="9"/>
    <col width="0.7265625" customWidth="1" style="71" min="10" max="10"/>
    <col width="6.1796875" customWidth="1" style="71" min="11" max="11"/>
    <col width="4.1796875" customWidth="1" style="71" min="12" max="12"/>
    <col width="4.81640625" customWidth="1" style="71" min="13" max="13"/>
    <col width="4.7265625" customWidth="1" style="71" min="14" max="14"/>
    <col width="20.54296875" customWidth="1" style="71" min="15" max="15"/>
    <col width="11" customWidth="1" style="71" min="16" max="16"/>
    <col width="3" customWidth="1" style="71" min="17" max="17"/>
    <col width="11" customWidth="1" style="71" min="18" max="18"/>
    <col width="0.7265625" customWidth="1" style="71" min="19" max="19"/>
    <col width="5.453125" customWidth="1" style="71" min="20" max="21"/>
    <col width="7.81640625" customWidth="1" style="71" min="22" max="22"/>
    <col width="24.26953125" bestFit="1" customWidth="1" style="71" min="23" max="23"/>
    <col width="9" customWidth="1" style="71" min="24" max="25"/>
    <col width="0.7265625" customWidth="1" style="71" min="26" max="26"/>
    <col width="8.1796875" customWidth="1" style="71" min="27" max="27"/>
    <col width="14.54296875" customWidth="1" style="71" min="28" max="28"/>
    <col width="6.1796875" customWidth="1" style="71" min="29" max="29"/>
    <col width="7" customWidth="1" style="71" min="30" max="30"/>
    <col width="11" customWidth="1" style="71" min="31" max="32"/>
    <col width="11" customWidth="1" style="71" min="33" max="16384"/>
  </cols>
  <sheetData>
    <row r="1" ht="45.75" customFormat="1" customHeight="1" s="60">
      <c r="B1" s="144" t="inlineStr">
        <is>
          <t>aquí</t>
        </is>
      </c>
      <c r="C1" s="10" t="n"/>
      <c r="D1" s="10" t="n"/>
      <c r="E1" s="10" t="n"/>
      <c r="F1" s="329" t="inlineStr">
        <is>
          <t>Plan de Muestreo - Agua - Aire - Suelo y Sedimentos</t>
        </is>
      </c>
      <c r="AC1" s="10" t="n"/>
      <c r="AD1" s="10" t="n"/>
    </row>
    <row r="2" ht="32.25" customFormat="1" customHeight="1" s="60">
      <c r="Y2" s="350" t="inlineStr">
        <is>
          <t>2026/0005</t>
        </is>
      </c>
      <c r="Z2" s="443" t="n"/>
      <c r="AA2" s="443" t="n"/>
      <c r="AB2" s="443" t="n"/>
      <c r="AC2" s="443" t="n"/>
      <c r="AD2" s="95" t="n"/>
    </row>
    <row r="3" ht="24.75" customFormat="1" customHeight="1" s="60">
      <c r="A3" s="343" t="inlineStr">
        <is>
          <t>Preparado por:</t>
        </is>
      </c>
      <c r="C3" s="94" t="inlineStr">
        <is>
          <t>Miguel Ramos</t>
        </is>
      </c>
      <c r="D3" s="94" t="n"/>
      <c r="E3" s="94" t="n"/>
      <c r="F3" s="94" t="n"/>
      <c r="G3" s="94" t="n"/>
      <c r="H3" s="94" t="n"/>
      <c r="I3" s="94" t="n"/>
      <c r="J3" s="94" t="n"/>
      <c r="K3" s="94" t="n"/>
      <c r="L3" s="94" t="n"/>
      <c r="M3" s="337" t="inlineStr">
        <is>
          <t>Fecha:</t>
        </is>
      </c>
      <c r="P3" s="348" t="n">
        <v>46175.42633780444</v>
      </c>
      <c r="Q3" s="444" t="n"/>
      <c r="R3" s="444" t="n"/>
      <c r="S3" s="444" t="n"/>
      <c r="T3" s="444" t="n"/>
      <c r="U3" s="444" t="n"/>
      <c r="V3" s="60" t="inlineStr">
        <is>
          <t xml:space="preserve"> </t>
        </is>
      </c>
      <c r="W3" s="227" t="inlineStr">
        <is>
          <t>N° de COT.:</t>
        </is>
      </c>
      <c r="X3" s="61" t="n"/>
      <c r="Y3" s="444" t="n"/>
      <c r="Z3" s="444" t="n"/>
      <c r="AA3" s="444" t="n"/>
      <c r="AB3" s="444" t="n"/>
      <c r="AC3" s="444" t="n"/>
      <c r="AD3" s="94" t="n"/>
    </row>
    <row r="4" ht="3" customFormat="1" customHeight="1" s="60">
      <c r="AD4" s="62" t="n"/>
    </row>
    <row r="5" ht="24.75" customFormat="1" customHeight="1" s="63">
      <c r="A5" s="445" t="inlineStr">
        <is>
          <t>1. DATOS DEL CLIENTE</t>
        </is>
      </c>
      <c r="B5" s="121" t="n"/>
      <c r="C5" s="121" t="n"/>
      <c r="D5" s="121" t="n"/>
      <c r="E5" s="121" t="n"/>
      <c r="F5" s="121" t="n"/>
      <c r="G5" s="121" t="n"/>
      <c r="H5" s="121" t="n"/>
      <c r="I5" s="121" t="n"/>
      <c r="J5" s="121" t="n"/>
      <c r="K5" s="121" t="n"/>
      <c r="L5" s="121" t="n"/>
      <c r="M5" s="121" t="n"/>
      <c r="N5" s="121" t="n"/>
      <c r="O5" s="121" t="n"/>
      <c r="P5" s="121" t="n"/>
      <c r="Q5" s="121" t="n"/>
      <c r="R5" s="121" t="n"/>
      <c r="S5" s="121" t="n"/>
      <c r="T5" s="121" t="n"/>
      <c r="U5" s="121" t="n"/>
      <c r="V5" s="121" t="n"/>
      <c r="W5" s="121" t="n"/>
      <c r="X5" s="121" t="n"/>
      <c r="Y5" s="121" t="n"/>
      <c r="Z5" s="121" t="n"/>
      <c r="AA5" s="121" t="n"/>
      <c r="AB5" s="121" t="n"/>
      <c r="AC5" s="121" t="n"/>
      <c r="AD5" s="446" t="n"/>
    </row>
    <row r="6" ht="63" customFormat="1" customHeight="1" s="60">
      <c r="A6" s="12" t="inlineStr">
        <is>
          <t xml:space="preserve">Razón Social: </t>
        </is>
      </c>
      <c r="B6" s="12" t="n"/>
      <c r="C6" s="12" t="n"/>
      <c r="D6" s="12" t="n"/>
      <c r="E6" s="343" t="n"/>
      <c r="F6" s="285" t="inlineStr">
        <is>
          <t>HIELO SEÑOR CAUTIVO SOCIEDAD</t>
        </is>
      </c>
      <c r="G6" s="447" t="n"/>
      <c r="H6" s="447" t="n"/>
      <c r="I6" s="447" t="n"/>
      <c r="J6" s="447" t="n"/>
      <c r="K6" s="447" t="n"/>
      <c r="L6" s="447" t="n"/>
      <c r="M6" s="447" t="n"/>
      <c r="N6" s="447" t="n"/>
      <c r="O6" s="447" t="n"/>
      <c r="P6" s="447" t="n"/>
      <c r="Q6" s="447" t="n"/>
      <c r="R6" s="447" t="n"/>
      <c r="S6" s="447" t="n"/>
      <c r="T6" s="447" t="n"/>
      <c r="U6" s="447" t="n"/>
      <c r="V6" s="447" t="n"/>
      <c r="W6" s="447" t="n"/>
      <c r="X6" s="447" t="n"/>
      <c r="Y6" s="447" t="n"/>
      <c r="Z6" s="447" t="n"/>
      <c r="AA6" s="447" t="n"/>
      <c r="AB6" s="447" t="n"/>
      <c r="AC6" s="447" t="n"/>
      <c r="AD6" s="447" t="n"/>
    </row>
    <row r="7" ht="52.5" customFormat="1" customHeight="1" s="60">
      <c r="A7" s="12" t="inlineStr">
        <is>
          <t>Dirección:</t>
        </is>
      </c>
      <c r="B7" s="12" t="n"/>
      <c r="C7" s="12" t="n"/>
      <c r="D7" s="12" t="n"/>
      <c r="E7" s="343" t="n"/>
      <c r="F7" s="287" t="inlineStr">
        <is>
          <t>AV. MARISCAL OSCAR R. BENAVIDES NRO. 629 URB. LIMA INDUSTRIAL LIMA - LIMA - LIMA</t>
        </is>
      </c>
      <c r="G7" s="448" t="n"/>
      <c r="H7" s="448" t="n"/>
      <c r="I7" s="448" t="n"/>
      <c r="J7" s="448" t="n"/>
      <c r="K7" s="448" t="n"/>
      <c r="L7" s="448" t="n"/>
      <c r="M7" s="448" t="n"/>
      <c r="N7" s="448" t="n"/>
      <c r="O7" s="448" t="n"/>
      <c r="P7" s="448" t="n"/>
      <c r="Q7" s="448" t="n"/>
      <c r="R7" s="448" t="n"/>
      <c r="S7" s="448" t="n"/>
      <c r="T7" s="448" t="n"/>
      <c r="U7" s="448" t="n"/>
      <c r="V7" s="448" t="n"/>
      <c r="W7" s="448" t="n"/>
      <c r="X7" s="448" t="n"/>
      <c r="Y7" s="448" t="n"/>
      <c r="Z7" s="448" t="n"/>
      <c r="AA7" s="448" t="n"/>
      <c r="AB7" s="448" t="n"/>
      <c r="AC7" s="448" t="n"/>
      <c r="AD7" s="448" t="n"/>
    </row>
    <row r="8" ht="66.65000000000001" customFormat="1" customHeight="1" s="60">
      <c r="A8" s="12" t="inlineStr">
        <is>
          <t>Lugar de muestreo:</t>
        </is>
      </c>
      <c r="B8" s="12" t="n"/>
      <c r="C8" s="12" t="n"/>
      <c r="D8" s="12" t="n"/>
      <c r="E8" s="343" t="n"/>
      <c r="F8" s="286" t="inlineStr">
        <is>
          <t>Centro Comercial Jockey Plaza</t>
        </is>
      </c>
      <c r="G8" s="448" t="n"/>
      <c r="H8" s="448" t="n"/>
      <c r="I8" s="448" t="n"/>
      <c r="J8" s="448" t="n"/>
      <c r="K8" s="448" t="n"/>
      <c r="L8" s="448" t="n"/>
      <c r="M8" s="448" t="n"/>
      <c r="N8" s="448" t="n"/>
      <c r="O8" s="448" t="n"/>
      <c r="P8" s="448" t="n"/>
      <c r="Q8" s="448" t="n"/>
      <c r="R8" s="448" t="n"/>
      <c r="S8" s="448" t="n"/>
      <c r="T8" s="448" t="n"/>
      <c r="U8" s="448" t="n"/>
      <c r="V8" s="448" t="n"/>
      <c r="W8" s="448" t="n"/>
      <c r="X8" s="448" t="n"/>
      <c r="Y8" s="448" t="n"/>
      <c r="Z8" s="448" t="n"/>
      <c r="AA8" s="448" t="n"/>
      <c r="AB8" s="448" t="n"/>
      <c r="AC8" s="448" t="n"/>
      <c r="AD8" s="448" t="n"/>
    </row>
    <row r="9" ht="24.75" customFormat="1" customHeight="1" s="60">
      <c r="A9" s="12" t="inlineStr">
        <is>
          <t>Contacto en campo:</t>
        </is>
      </c>
      <c r="B9" s="12" t="n"/>
      <c r="C9" s="12" t="n"/>
      <c r="D9" s="12" t="n"/>
      <c r="E9" s="343" t="n"/>
      <c r="F9" s="290" t="inlineStr">
        <is>
          <t>Ronald Spring</t>
        </is>
      </c>
      <c r="G9" s="448" t="n"/>
      <c r="H9" s="448" t="n"/>
      <c r="I9" s="448" t="n"/>
      <c r="J9" s="448" t="n"/>
      <c r="K9" s="448" t="n"/>
      <c r="L9" s="448" t="n"/>
      <c r="M9" s="448" t="n"/>
      <c r="N9" s="448" t="n"/>
      <c r="O9" s="448" t="n"/>
      <c r="P9" s="448" t="n"/>
      <c r="Q9" s="448" t="n"/>
      <c r="R9" s="448" t="n"/>
      <c r="S9" s="343" t="inlineStr">
        <is>
          <t>Cargo:</t>
        </is>
      </c>
      <c r="T9" s="343" t="n"/>
      <c r="U9" s="343" t="n"/>
      <c r="V9" s="7" t="n"/>
      <c r="W9" s="9" t="n"/>
      <c r="X9" s="293" t="inlineStr">
        <is>
          <t>RESPONSABLE</t>
        </is>
      </c>
      <c r="Y9" s="448" t="n"/>
      <c r="Z9" s="448" t="n"/>
      <c r="AA9" s="448" t="n"/>
      <c r="AB9" s="448" t="n"/>
      <c r="AC9" s="448" t="n"/>
      <c r="AD9" s="448" t="n"/>
    </row>
    <row r="10" ht="24.75" customFormat="1" customHeight="1" s="60">
      <c r="A10" s="12" t="inlineStr">
        <is>
          <t>Telefono de Contacto en campo:</t>
        </is>
      </c>
      <c r="B10" s="12" t="n"/>
      <c r="C10" s="12" t="n"/>
      <c r="D10" s="12" t="n"/>
      <c r="E10" s="343" t="n"/>
      <c r="F10" s="289" t="inlineStr">
        <is>
          <t>+51 998 250 546</t>
        </is>
      </c>
      <c r="G10" s="448" t="n"/>
      <c r="H10" s="448" t="n"/>
      <c r="I10" s="448" t="n"/>
      <c r="J10" s="448" t="n"/>
      <c r="K10" s="448" t="n"/>
      <c r="L10" s="448" t="n"/>
      <c r="M10" s="448" t="n"/>
      <c r="N10" s="448" t="n"/>
      <c r="O10" s="448" t="n"/>
      <c r="P10" s="448" t="n"/>
      <c r="Q10" s="448" t="n"/>
      <c r="R10" s="448" t="n"/>
      <c r="S10" s="343" t="inlineStr">
        <is>
          <t>e-mail:</t>
        </is>
      </c>
      <c r="U10" s="343" t="n"/>
      <c r="V10" s="7" t="n"/>
      <c r="W10" s="9" t="n"/>
      <c r="X10" s="292" t="inlineStr">
        <is>
          <t>produccion@agropescadelperu.com</t>
        </is>
      </c>
      <c r="Y10" s="448" t="n"/>
      <c r="Z10" s="448" t="n"/>
      <c r="AA10" s="448" t="n"/>
      <c r="AB10" s="448" t="n"/>
      <c r="AC10" s="448" t="n"/>
      <c r="AD10" s="448" t="n"/>
    </row>
    <row r="11" ht="24.75" customFormat="1" customHeight="1" s="60">
      <c r="A11" s="12" t="inlineStr">
        <is>
          <t>Fecha de inicio de muestreo:</t>
        </is>
      </c>
      <c r="B11" s="12" t="n"/>
      <c r="C11" s="12" t="n"/>
      <c r="D11" s="12" t="n"/>
      <c r="E11" s="343" t="n"/>
      <c r="F11" s="288" t="inlineStr">
        <is>
          <t>02/06/2026</t>
        </is>
      </c>
      <c r="G11" s="448" t="n"/>
      <c r="H11" s="448" t="n"/>
      <c r="I11" s="448" t="n"/>
      <c r="J11" s="448" t="n"/>
      <c r="K11" s="448" t="n"/>
      <c r="L11" s="448" t="n"/>
      <c r="M11" s="448" t="n"/>
      <c r="N11" s="448" t="n"/>
      <c r="O11" s="448" t="n"/>
      <c r="P11" s="448" t="n"/>
      <c r="Q11" s="448" t="n"/>
      <c r="R11" s="448" t="n"/>
      <c r="S11" s="45" t="inlineStr">
        <is>
          <t>Resp. de Cotización:</t>
        </is>
      </c>
      <c r="T11" s="343" t="n"/>
      <c r="U11" s="343" t="n"/>
      <c r="V11" s="7" t="n"/>
      <c r="W11" s="8" t="n"/>
      <c r="X11" s="293" t="inlineStr">
        <is>
          <t>HUAMANI</t>
        </is>
      </c>
      <c r="Y11" s="448" t="n"/>
      <c r="Z11" s="448" t="n"/>
      <c r="AA11" s="448" t="n"/>
      <c r="AB11" s="448" t="n"/>
      <c r="AC11" s="448" t="n"/>
      <c r="AD11" s="448" t="n"/>
    </row>
    <row r="12" ht="24.75" customFormat="1" customHeight="1" s="60">
      <c r="A12" s="343" t="inlineStr">
        <is>
          <t>Fecha de termino del servicio</t>
        </is>
      </c>
      <c r="B12" s="343" t="n"/>
      <c r="C12" s="343" t="n"/>
      <c r="D12" s="343" t="n"/>
      <c r="E12" s="343" t="n"/>
      <c r="F12" s="288">
        <f>F11</f>
        <v/>
      </c>
      <c r="G12" s="448" t="n"/>
      <c r="H12" s="448" t="n"/>
      <c r="I12" s="448" t="n"/>
      <c r="J12" s="448" t="n"/>
      <c r="K12" s="448" t="n"/>
      <c r="L12" s="448" t="n"/>
      <c r="M12" s="448" t="n"/>
      <c r="N12" s="448" t="n"/>
      <c r="O12" s="448" t="n"/>
      <c r="P12" s="448" t="n"/>
      <c r="Q12" s="448" t="n"/>
      <c r="R12" s="448" t="n"/>
      <c r="S12" s="373" t="inlineStr">
        <is>
          <t>Muestreado Por:</t>
        </is>
      </c>
      <c r="T12" s="373" t="n"/>
      <c r="U12" s="373" t="n"/>
      <c r="V12" s="5" t="n"/>
      <c r="W12" s="6" t="n"/>
      <c r="X12" s="294" t="inlineStr">
        <is>
          <t>CLIENTE</t>
        </is>
      </c>
      <c r="Y12" s="448" t="n"/>
      <c r="Z12" s="448" t="n"/>
      <c r="AA12" s="448" t="n"/>
      <c r="AB12" s="448" t="n"/>
      <c r="AC12" s="448" t="n"/>
      <c r="AD12" s="448" t="n"/>
    </row>
    <row r="13" ht="3" customFormat="1" customHeight="1" s="60" thickBot="1">
      <c r="A13" s="342" t="n"/>
      <c r="AD13" s="64" t="n"/>
    </row>
    <row r="14" ht="20.15" customFormat="1" customHeight="1" s="63">
      <c r="A14" s="46" t="inlineStr">
        <is>
          <t xml:space="preserve">2.  DETALLES DEL SERVICIO </t>
        </is>
      </c>
      <c r="B14" s="47" t="n"/>
      <c r="C14" s="47" t="n"/>
      <c r="D14" s="47" t="n"/>
      <c r="E14" s="47" t="n"/>
      <c r="F14" s="47" t="n"/>
      <c r="G14" s="47" t="n"/>
      <c r="H14" s="47" t="n"/>
      <c r="I14" s="47" t="n"/>
      <c r="J14" s="47" t="n"/>
      <c r="K14" s="47" t="n"/>
      <c r="L14" s="47" t="n"/>
      <c r="M14" s="47" t="n"/>
      <c r="N14" s="47" t="n"/>
      <c r="O14" s="47" t="n"/>
      <c r="P14" s="47" t="n"/>
      <c r="Q14" s="47" t="n"/>
      <c r="R14" s="47" t="n"/>
      <c r="S14" s="47" t="n"/>
      <c r="T14" s="47" t="n"/>
      <c r="U14" s="47" t="n"/>
      <c r="V14" s="47" t="n"/>
      <c r="W14" s="47" t="n"/>
      <c r="X14" s="47" t="n"/>
      <c r="Y14" s="47" t="n"/>
      <c r="Z14" s="47" t="n"/>
      <c r="AA14" s="47" t="n"/>
      <c r="AB14" s="47" t="n"/>
      <c r="AC14" s="47" t="n"/>
      <c r="AD14" s="48" t="n"/>
    </row>
    <row r="15" ht="26.25" customFormat="1" customHeight="1" s="30">
      <c r="A15" s="372" t="inlineStr">
        <is>
          <t>Matriz :</t>
        </is>
      </c>
      <c r="C15" s="392" t="inlineStr">
        <is>
          <t>6. AGUA PARA USO Y CONSUMO HUMANO - POTABLE / AC-6</t>
        </is>
      </c>
      <c r="D15" s="449" t="n"/>
      <c r="E15" s="449" t="n"/>
      <c r="F15" s="449" t="n"/>
      <c r="G15" s="449" t="n"/>
      <c r="H15" s="449" t="n"/>
      <c r="I15" s="449" t="n"/>
      <c r="J15" s="449" t="n"/>
      <c r="K15" s="449" t="n"/>
      <c r="L15" s="449" t="n"/>
      <c r="M15" s="449" t="n"/>
      <c r="N15" s="449" t="n"/>
      <c r="O15" s="449" t="n"/>
      <c r="P15" s="449" t="n"/>
      <c r="Q15" s="449" t="n"/>
      <c r="R15" s="449" t="n"/>
      <c r="S15" s="449" t="n"/>
      <c r="T15" s="449" t="n"/>
      <c r="U15" s="449" t="n"/>
      <c r="V15" s="449" t="n"/>
      <c r="W15" s="449" t="n"/>
      <c r="X15" s="96" t="n"/>
      <c r="Y15" s="97" t="n"/>
      <c r="Z15" s="97" t="n"/>
      <c r="AA15" s="98" t="n"/>
      <c r="AB15" s="98" t="n"/>
      <c r="AC15" s="98" t="n"/>
      <c r="AD15" s="99" t="n"/>
    </row>
    <row r="16" ht="28.5" customFormat="1" customHeight="1" s="65">
      <c r="A16" s="338" t="inlineStr">
        <is>
          <t>Item</t>
        </is>
      </c>
      <c r="B16" s="338" t="inlineStr">
        <is>
          <t>Parámetros</t>
        </is>
      </c>
      <c r="C16" s="121" t="n"/>
      <c r="D16" s="121" t="n"/>
      <c r="E16" s="121" t="n"/>
      <c r="F16" s="121" t="n"/>
      <c r="G16" s="121" t="n"/>
      <c r="H16" s="121" t="n"/>
      <c r="I16" s="121" t="n"/>
      <c r="J16" s="121" t="n"/>
      <c r="K16" s="121" t="n"/>
      <c r="L16" s="121" t="n"/>
      <c r="M16" s="121" t="n"/>
      <c r="N16" s="121" t="n"/>
      <c r="O16" s="446" t="n"/>
      <c r="P16" s="330" t="inlineStr">
        <is>
          <t>Puntos</t>
        </is>
      </c>
      <c r="Q16" s="450" t="n"/>
      <c r="R16" s="331" t="inlineStr">
        <is>
          <t>Envase</t>
        </is>
      </c>
      <c r="S16" s="338" t="inlineStr">
        <is>
          <t>Volumen</t>
        </is>
      </c>
      <c r="T16" s="121" t="n"/>
      <c r="U16" s="446" t="n"/>
      <c r="V16" s="338" t="inlineStr">
        <is>
          <t>Preservación</t>
        </is>
      </c>
      <c r="W16" s="121" t="n"/>
      <c r="X16" s="121" t="n"/>
      <c r="Y16" s="446" t="n"/>
      <c r="Z16" s="393" t="inlineStr">
        <is>
          <t xml:space="preserve">Control de Calidad </t>
        </is>
      </c>
      <c r="AA16" s="204" t="n"/>
      <c r="AB16" s="204" t="n"/>
      <c r="AC16" s="204" t="n"/>
      <c r="AD16" s="450" t="n"/>
    </row>
    <row r="17" ht="21.75" customFormat="1" customHeight="1" s="66">
      <c r="A17" s="146">
        <f>IF(B17&lt;&gt;"",ROW(H1),"")</f>
        <v/>
      </c>
      <c r="B17" s="272" t="inlineStr">
        <is>
          <t>COLIF.FECALES*/TOTALES* - E.COLI* - BACT.HETEROTROFAS*</t>
        </is>
      </c>
      <c r="C17" s="444" t="n"/>
      <c r="D17" s="444" t="n"/>
      <c r="E17" s="444" t="n"/>
      <c r="F17" s="444" t="n"/>
      <c r="G17" s="444" t="n"/>
      <c r="H17" s="444" t="n"/>
      <c r="I17" s="444" t="n"/>
      <c r="J17" s="444" t="n"/>
      <c r="K17" s="444" t="n"/>
      <c r="L17" s="444" t="n"/>
      <c r="M17" s="444" t="n"/>
      <c r="N17" s="444" t="n"/>
      <c r="O17" s="444" t="n"/>
      <c r="P17" s="451" t="n">
        <v>1</v>
      </c>
      <c r="Q17" s="452" t="n"/>
      <c r="R17" s="274">
        <f>IF(B17="","",VLOOKUP(B17,PARAMETROS!$A$2:$F$806,2,FALSE))</f>
        <v/>
      </c>
      <c r="S17" s="453">
        <f>IF(B17="","",VLOOKUP(B17,PARAMETROS!$A$2:$F$806,3,FALSE))</f>
        <v/>
      </c>
      <c r="T17" s="454" t="n"/>
      <c r="U17" s="455" t="n"/>
      <c r="V17" s="148">
        <f>IF(B17="","",VLOOKUP(B17,PARAMETROS!$A$2:$F$806,5,FALSE))</f>
        <v/>
      </c>
      <c r="W17" s="149">
        <f>IF(B17="","",VLOOKUP(B17,PARAMETROS!$A$2:$F$806,4,FALSE))</f>
        <v/>
      </c>
      <c r="X17" s="149" t="n"/>
      <c r="Y17" s="149" t="n"/>
      <c r="Z17" s="427">
        <f>IFERROR(IF(B17="","",VLOOKUP(B17,PARAMETROS!$A$2:$F$806,6,FALSE))*IF(P17&lt;=20,1,IF(P17&lt;=40,2,IF(P17&lt;=60,3,4))),"")</f>
        <v/>
      </c>
      <c r="AA17" s="456" t="n"/>
      <c r="AB17" s="429">
        <f>IF(B17="","",VLOOKUP(B17,PARAMETROS!$A$2:$G$806,7,FALSE))</f>
        <v/>
      </c>
      <c r="AC17" s="457" t="n"/>
      <c r="AD17" s="456" t="n"/>
    </row>
    <row r="18" ht="21.75" customFormat="1" customHeight="1" s="66">
      <c r="A18" s="146">
        <f>IF(B18&lt;&gt;"",ROW(H2),"")</f>
        <v/>
      </c>
      <c r="B18" s="272" t="inlineStr">
        <is>
          <t>METALES TOTALES AA* e ICP-OES - DUREZA TOTAL</t>
        </is>
      </c>
      <c r="C18" s="444" t="n"/>
      <c r="D18" s="444" t="n"/>
      <c r="E18" s="444" t="n"/>
      <c r="F18" s="444" t="n"/>
      <c r="G18" s="444" t="n"/>
      <c r="H18" s="444" t="n"/>
      <c r="I18" s="444" t="n"/>
      <c r="J18" s="444" t="n"/>
      <c r="K18" s="444" t="n"/>
      <c r="L18" s="444" t="n"/>
      <c r="M18" s="444" t="n"/>
      <c r="N18" s="444" t="n"/>
      <c r="O18" s="444" t="n"/>
      <c r="P18" s="458" t="n">
        <v>1</v>
      </c>
      <c r="Q18" s="459" t="n"/>
      <c r="R18" s="274">
        <f>IF(B18="","",VLOOKUP(B18,PARAMETROS!$A$2:$F$806,2,FALSE))</f>
        <v/>
      </c>
      <c r="S18" s="453">
        <f>IF(B18="","",VLOOKUP(B18,PARAMETROS!$A$2:$F$806,3,FALSE))</f>
        <v/>
      </c>
      <c r="T18" s="454" t="n"/>
      <c r="U18" s="455" t="n"/>
      <c r="V18" s="148">
        <f>IF(B18="","",VLOOKUP(B18,PARAMETROS!$A$2:$F$806,5,FALSE))</f>
        <v/>
      </c>
      <c r="W18" s="149">
        <f>IF(B18="","",VLOOKUP(B18,PARAMETROS!$A$2:$F$806,4,FALSE))</f>
        <v/>
      </c>
      <c r="X18" s="149" t="n"/>
      <c r="Y18" s="149" t="n"/>
      <c r="Z18" s="312">
        <f>IFERROR(IF(B18="","",VLOOKUP(B18,PARAMETROS!$A$2:$F$806,6,FALSE))*IF(P18&lt;=20,1,IF(P18&lt;=40,2,IF(P18&lt;=60,3,4))),"")</f>
        <v/>
      </c>
      <c r="AA18" s="460" t="n"/>
      <c r="AB18" s="295">
        <f>IF(B18="","",VLOOKUP(B18,PARAMETROS!$A$2:$G$806,7,FALSE))</f>
        <v/>
      </c>
      <c r="AC18" s="461" t="n"/>
      <c r="AD18" s="460" t="n"/>
    </row>
    <row r="19" ht="21.75" customFormat="1" customHeight="1" s="66">
      <c r="A19" s="146">
        <f>IF(B19&lt;&gt;"",ROW(H3),"")</f>
        <v/>
      </c>
      <c r="B19" s="272" t="inlineStr">
        <is>
          <t>TURBIEDAD*</t>
        </is>
      </c>
      <c r="C19" s="444" t="n"/>
      <c r="D19" s="444" t="n"/>
      <c r="E19" s="444" t="n"/>
      <c r="F19" s="444" t="n"/>
      <c r="G19" s="444" t="n"/>
      <c r="H19" s="444" t="n"/>
      <c r="I19" s="444" t="n"/>
      <c r="J19" s="444" t="n"/>
      <c r="K19" s="444" t="n"/>
      <c r="L19" s="444" t="n"/>
      <c r="M19" s="444" t="n"/>
      <c r="N19" s="444" t="n"/>
      <c r="O19" s="444" t="n"/>
      <c r="P19" s="458" t="n">
        <v>1</v>
      </c>
      <c r="Q19" s="459" t="n"/>
      <c r="R19" s="274">
        <f>IF(B19="","",VLOOKUP(B19,PARAMETROS!$A$2:$F$806,2,FALSE))</f>
        <v/>
      </c>
      <c r="S19" s="453">
        <f>IF(B19="","",VLOOKUP(B19,PARAMETROS!$A$2:$F$806,3,FALSE))</f>
        <v/>
      </c>
      <c r="T19" s="454" t="n"/>
      <c r="U19" s="455" t="n"/>
      <c r="V19" s="148">
        <f>IF(B19="","",VLOOKUP(B19,PARAMETROS!$A$2:$F$806,5,FALSE))</f>
        <v/>
      </c>
      <c r="W19" s="149">
        <f>IF(B19="","",VLOOKUP(B19,PARAMETROS!$A$2:$F$806,4,FALSE))</f>
        <v/>
      </c>
      <c r="X19" s="149" t="n"/>
      <c r="Y19" s="149" t="n"/>
      <c r="Z19" s="312">
        <f>IFERROR(IF(B19="","",VLOOKUP(B19,PARAMETROS!$A$2:$F$806,6,FALSE))*IF(P19&lt;=20,1,IF(P19&lt;=40,2,IF(P19&lt;=60,3,4))),"")</f>
        <v/>
      </c>
      <c r="AA19" s="460" t="n"/>
      <c r="AB19" s="295">
        <f>IF(B19="","",VLOOKUP(B19,PARAMETROS!$A$2:$G$806,7,FALSE))</f>
        <v/>
      </c>
      <c r="AC19" s="461" t="n"/>
      <c r="AD19" s="460" t="n"/>
    </row>
    <row r="20" ht="21.75" customFormat="1" customHeight="1" s="66">
      <c r="A20" s="146">
        <f>IF(B20&lt;&gt;"",ROW(H4),"")</f>
        <v/>
      </c>
      <c r="B20" s="272" t="inlineStr">
        <is>
          <t>COLOR VERDADERO</t>
        </is>
      </c>
      <c r="C20" s="444" t="n"/>
      <c r="D20" s="444" t="n"/>
      <c r="E20" s="444" t="n"/>
      <c r="F20" s="444" t="n"/>
      <c r="G20" s="444" t="n"/>
      <c r="H20" s="444" t="n"/>
      <c r="I20" s="444" t="n"/>
      <c r="J20" s="444" t="n"/>
      <c r="K20" s="444" t="n"/>
      <c r="L20" s="444" t="n"/>
      <c r="M20" s="444" t="n"/>
      <c r="N20" s="444" t="n"/>
      <c r="O20" s="444" t="n"/>
      <c r="P20" s="458" t="n">
        <v>1</v>
      </c>
      <c r="Q20" s="459" t="n"/>
      <c r="R20" s="274">
        <f>IF(B20="","",VLOOKUP(B20,PARAMETROS!$A$2:$F$806,2,FALSE))</f>
        <v/>
      </c>
      <c r="S20" s="453">
        <f>IF(B20="","",VLOOKUP(B20,PARAMETROS!$A$2:$F$806,3,FALSE))</f>
        <v/>
      </c>
      <c r="T20" s="454" t="n"/>
      <c r="U20" s="455" t="n"/>
      <c r="V20" s="148">
        <f>IF(B20="","",VLOOKUP(B20,PARAMETROS!$A$2:$F$806,5,FALSE))</f>
        <v/>
      </c>
      <c r="W20" s="149">
        <f>IF(B20="","",VLOOKUP(B20,PARAMETROS!$A$2:$F$806,4,FALSE))</f>
        <v/>
      </c>
      <c r="X20" s="149" t="n"/>
      <c r="Y20" s="149" t="n"/>
      <c r="Z20" s="312">
        <f>IFERROR(IF(B20="","",VLOOKUP(B20,PARAMETROS!$A$2:$F$806,6,FALSE))*IF(P20&lt;=20,1,IF(P20&lt;=40,2,IF(P20&lt;=60,3,4))),"")</f>
        <v/>
      </c>
      <c r="AA20" s="460" t="n"/>
      <c r="AB20" s="295">
        <f>IF(B20="","",VLOOKUP(B20,PARAMETROS!$A$2:$G$806,7,FALSE))</f>
        <v/>
      </c>
      <c r="AC20" s="461" t="n"/>
      <c r="AD20" s="460" t="n"/>
    </row>
    <row r="21" ht="21.75" customFormat="1" customHeight="1" s="66">
      <c r="A21" s="146">
        <f>IF(B21&lt;&gt;"",ROW(H5),"")</f>
        <v/>
      </c>
      <c r="B21" s="272" t="n"/>
      <c r="C21" s="444" t="n"/>
      <c r="D21" s="444" t="n"/>
      <c r="E21" s="444" t="n"/>
      <c r="F21" s="444" t="n"/>
      <c r="G21" s="444" t="n"/>
      <c r="H21" s="444" t="n"/>
      <c r="I21" s="444" t="n"/>
      <c r="J21" s="444" t="n"/>
      <c r="K21" s="444" t="n"/>
      <c r="L21" s="444" t="n"/>
      <c r="M21" s="444" t="n"/>
      <c r="N21" s="444" t="n"/>
      <c r="O21" s="444" t="n"/>
      <c r="P21" s="458" t="n"/>
      <c r="Q21" s="459" t="n"/>
      <c r="R21" s="274">
        <f>IF(B21="","",VLOOKUP(B21,PARAMETROS!$A$2:$F$806,2,FALSE))</f>
        <v/>
      </c>
      <c r="S21" s="453">
        <f>IF(B21="","",VLOOKUP(B21,PARAMETROS!$A$2:$F$806,3,FALSE))</f>
        <v/>
      </c>
      <c r="T21" s="454" t="n"/>
      <c r="U21" s="455" t="n"/>
      <c r="V21" s="148">
        <f>IF(B21="","",VLOOKUP(B21,PARAMETROS!$A$2:$F$806,5,FALSE))</f>
        <v/>
      </c>
      <c r="W21" s="149">
        <f>IF(B21="","",VLOOKUP(B21,PARAMETROS!$A$2:$F$806,4,FALSE))</f>
        <v/>
      </c>
      <c r="X21" s="149" t="n"/>
      <c r="Y21" s="149" t="n"/>
      <c r="Z21" s="312">
        <f>IFERROR(IF(B21="","",VLOOKUP(B21,PARAMETROS!$A$2:$F$806,6,FALSE))*IF(P21&lt;=20,1,IF(P21&lt;=40,2,IF(P21&lt;=60,3,4))),"")</f>
        <v/>
      </c>
      <c r="AA21" s="460" t="n"/>
      <c r="AB21" s="295">
        <f>IF(B21="","",VLOOKUP(B21,PARAMETROS!$A$2:$G$806,7,FALSE))</f>
        <v/>
      </c>
      <c r="AC21" s="461" t="n"/>
      <c r="AD21" s="460" t="n"/>
    </row>
    <row r="22" ht="20.25" customFormat="1" customHeight="1" s="66">
      <c r="A22" s="146">
        <f>IF(B22&lt;&gt;"",ROW(H6),"")</f>
        <v/>
      </c>
      <c r="B22" s="272" t="n"/>
      <c r="C22" s="444" t="n"/>
      <c r="D22" s="444" t="n"/>
      <c r="E22" s="444" t="n"/>
      <c r="F22" s="444" t="n"/>
      <c r="G22" s="444" t="n"/>
      <c r="H22" s="444" t="n"/>
      <c r="I22" s="444" t="n"/>
      <c r="J22" s="444" t="n"/>
      <c r="K22" s="444" t="n"/>
      <c r="L22" s="444" t="n"/>
      <c r="M22" s="444" t="n"/>
      <c r="N22" s="444" t="n"/>
      <c r="O22" s="444" t="n"/>
      <c r="P22" s="458" t="n"/>
      <c r="Q22" s="459" t="n"/>
      <c r="R22" s="274">
        <f>IF(B22="","",VLOOKUP(B22,PARAMETROS!$A$2:$F$806,2,FALSE))</f>
        <v/>
      </c>
      <c r="S22" s="453">
        <f>IF(B22="","",VLOOKUP(B22,PARAMETROS!$A$2:$F$806,3,FALSE))</f>
        <v/>
      </c>
      <c r="T22" s="454" t="n"/>
      <c r="U22" s="455" t="n"/>
      <c r="V22" s="148">
        <f>IF(B22="","",VLOOKUP(B22,PARAMETROS!$A$2:$F$806,5,FALSE))</f>
        <v/>
      </c>
      <c r="W22" s="149">
        <f>IF(B22="","",VLOOKUP(B22,PARAMETROS!$A$2:$F$806,4,FALSE))</f>
        <v/>
      </c>
      <c r="X22" s="149" t="n"/>
      <c r="Y22" s="149" t="n"/>
      <c r="Z22" s="312">
        <f>IFERROR(IF(B22="","",VLOOKUP(B22,PARAMETROS!$A$2:$F$806,6,FALSE))*IF(P22&lt;=20,1,IF(P22&lt;=40,2,IF(P22&lt;=60,3,4))),"")</f>
        <v/>
      </c>
      <c r="AA22" s="460" t="n"/>
      <c r="AB22" s="295">
        <f>IF(B22="","",VLOOKUP(B22,PARAMETROS!$A$2:$G$806,7,FALSE))</f>
        <v/>
      </c>
      <c r="AC22" s="461" t="n"/>
      <c r="AD22" s="460" t="n"/>
    </row>
    <row r="23" ht="23.25" customFormat="1" customHeight="1" s="66">
      <c r="A23" s="146">
        <f>IF(B23&lt;&gt;"",ROW(H7),"")</f>
        <v/>
      </c>
      <c r="B23" s="272" t="n"/>
      <c r="C23" s="444" t="n"/>
      <c r="D23" s="444" t="n"/>
      <c r="E23" s="444" t="n"/>
      <c r="F23" s="444" t="n"/>
      <c r="G23" s="444" t="n"/>
      <c r="H23" s="444" t="n"/>
      <c r="I23" s="444" t="n"/>
      <c r="J23" s="444" t="n"/>
      <c r="K23" s="444" t="n"/>
      <c r="L23" s="444" t="n"/>
      <c r="M23" s="444" t="n"/>
      <c r="N23" s="444" t="n"/>
      <c r="O23" s="444" t="n"/>
      <c r="P23" s="458" t="n"/>
      <c r="Q23" s="459" t="n"/>
      <c r="R23" s="274">
        <f>IF(B23="","",VLOOKUP(B23,PARAMETROS!$A$2:$F$806,2,FALSE))</f>
        <v/>
      </c>
      <c r="S23" s="453">
        <f>IF(B23="","",VLOOKUP(B23,PARAMETROS!$A$2:$F$806,3,FALSE))</f>
        <v/>
      </c>
      <c r="T23" s="454" t="n"/>
      <c r="U23" s="455" t="n"/>
      <c r="V23" s="148">
        <f>IF(B23="","",VLOOKUP(B23,PARAMETROS!$A$2:$F$806,5,FALSE))</f>
        <v/>
      </c>
      <c r="W23" s="149">
        <f>IF(B23="","",VLOOKUP(B23,PARAMETROS!$A$2:$F$806,4,FALSE))</f>
        <v/>
      </c>
      <c r="X23" s="149" t="n"/>
      <c r="Y23" s="149" t="n"/>
      <c r="Z23" s="312">
        <f>IFERROR(IF(B23="","",VLOOKUP(B23,PARAMETROS!$A$2:$F$806,6,FALSE))*IF(P23&lt;=20,1,IF(P23&lt;=40,2,IF(P23&lt;=60,3,4))),"")</f>
        <v/>
      </c>
      <c r="AA23" s="460" t="n"/>
      <c r="AB23" s="295">
        <f>IF(B23="","",VLOOKUP(B23,PARAMETROS!$A$2:$G$806,7,FALSE))</f>
        <v/>
      </c>
      <c r="AC23" s="461" t="n"/>
      <c r="AD23" s="460" t="n"/>
    </row>
    <row r="24" ht="18.75" customFormat="1" customHeight="1" s="66">
      <c r="A24" s="146">
        <f>IF(B24&lt;&gt;"",ROW(H8),"")</f>
        <v/>
      </c>
      <c r="B24" s="272" t="n"/>
      <c r="C24" s="444" t="n"/>
      <c r="D24" s="444" t="n"/>
      <c r="E24" s="444" t="n"/>
      <c r="F24" s="444" t="n"/>
      <c r="G24" s="444" t="n"/>
      <c r="H24" s="444" t="n"/>
      <c r="I24" s="444" t="n"/>
      <c r="J24" s="444" t="n"/>
      <c r="K24" s="444" t="n"/>
      <c r="L24" s="444" t="n"/>
      <c r="M24" s="444" t="n"/>
      <c r="N24" s="444" t="n"/>
      <c r="O24" s="444" t="n"/>
      <c r="P24" s="458" t="n"/>
      <c r="Q24" s="459" t="n"/>
      <c r="R24" s="274">
        <f>IF(B24="","",VLOOKUP(B24,PARAMETROS!$A$2:$F$806,2,FALSE))</f>
        <v/>
      </c>
      <c r="S24" s="453">
        <f>IF(B24="","",VLOOKUP(B24,PARAMETROS!$A$2:$F$806,3,FALSE))</f>
        <v/>
      </c>
      <c r="T24" s="454" t="n"/>
      <c r="U24" s="455" t="n"/>
      <c r="V24" s="148">
        <f>IF(B24="","",VLOOKUP(B24,PARAMETROS!$A$2:$F$806,5,FALSE))</f>
        <v/>
      </c>
      <c r="W24" s="149">
        <f>IF(B24="","",VLOOKUP(B24,PARAMETROS!$A$2:$F$806,4,FALSE))</f>
        <v/>
      </c>
      <c r="X24" s="149" t="n"/>
      <c r="Y24" s="149" t="n"/>
      <c r="Z24" s="312">
        <f>IFERROR(IF(B24="","",VLOOKUP(B24,PARAMETROS!$A$2:$F$806,6,FALSE))*IF(P24&lt;=20,1,IF(P24&lt;=40,2,IF(P24&lt;=60,3,4))),"")</f>
        <v/>
      </c>
      <c r="AA24" s="460" t="n"/>
      <c r="AB24" s="295">
        <f>IF(B24="","",VLOOKUP(B24,PARAMETROS!$A$2:$G$806,7,FALSE))</f>
        <v/>
      </c>
      <c r="AC24" s="461" t="n"/>
      <c r="AD24" s="460" t="n"/>
    </row>
    <row r="25" ht="22.5" customFormat="1" customHeight="1" s="66">
      <c r="A25" s="146">
        <f>IF(B25&lt;&gt;"",ROW(H9),"")</f>
        <v/>
      </c>
      <c r="B25" s="272" t="n"/>
      <c r="C25" s="444" t="n"/>
      <c r="D25" s="444" t="n"/>
      <c r="E25" s="444" t="n"/>
      <c r="F25" s="444" t="n"/>
      <c r="G25" s="444" t="n"/>
      <c r="H25" s="444" t="n"/>
      <c r="I25" s="444" t="n"/>
      <c r="J25" s="444" t="n"/>
      <c r="K25" s="444" t="n"/>
      <c r="L25" s="444" t="n"/>
      <c r="M25" s="444" t="n"/>
      <c r="N25" s="444" t="n"/>
      <c r="O25" s="444" t="n"/>
      <c r="P25" s="458" t="n"/>
      <c r="Q25" s="459" t="n"/>
      <c r="R25" s="274">
        <f>IF(B25="","",VLOOKUP(B25,PARAMETROS!$A$2:$F$806,2,FALSE))</f>
        <v/>
      </c>
      <c r="S25" s="453">
        <f>IF(B25="","",VLOOKUP(B25,PARAMETROS!$A$2:$F$806,3,FALSE))</f>
        <v/>
      </c>
      <c r="T25" s="454" t="n"/>
      <c r="U25" s="455" t="n"/>
      <c r="V25" s="148">
        <f>IF(B25="","",VLOOKUP(B25,PARAMETROS!$A$2:$F$806,5,FALSE))</f>
        <v/>
      </c>
      <c r="W25" s="149">
        <f>IF(B25="","",VLOOKUP(B25,PARAMETROS!$A$2:$F$806,4,FALSE))</f>
        <v/>
      </c>
      <c r="X25" s="149" t="n"/>
      <c r="Y25" s="149" t="n"/>
      <c r="Z25" s="312">
        <f>IFERROR(IF(B25="","",VLOOKUP(B25,PARAMETROS!$A$2:$F$806,6,FALSE))*IF(P25&lt;=20,1,IF(P25&lt;=40,2,IF(P25&lt;=60,3,4))),"")</f>
        <v/>
      </c>
      <c r="AA25" s="460" t="n"/>
      <c r="AB25" s="295">
        <f>IF(B25="","",VLOOKUP(B25,PARAMETROS!$A$2:$G$806,7,FALSE))</f>
        <v/>
      </c>
      <c r="AC25" s="461" t="n"/>
      <c r="AD25" s="460" t="n"/>
    </row>
    <row r="26" ht="24" customFormat="1" customHeight="1" s="66">
      <c r="A26" s="146">
        <f>IF(B26&lt;&gt;"",ROW(H10),"")</f>
        <v/>
      </c>
      <c r="B26" s="272" t="n"/>
      <c r="C26" s="444" t="n"/>
      <c r="D26" s="444" t="n"/>
      <c r="E26" s="444" t="n"/>
      <c r="F26" s="444" t="n"/>
      <c r="G26" s="444" t="n"/>
      <c r="H26" s="444" t="n"/>
      <c r="I26" s="444" t="n"/>
      <c r="J26" s="444" t="n"/>
      <c r="K26" s="444" t="n"/>
      <c r="L26" s="444" t="n"/>
      <c r="M26" s="444" t="n"/>
      <c r="N26" s="444" t="n"/>
      <c r="O26" s="444" t="n"/>
      <c r="P26" s="458" t="n"/>
      <c r="Q26" s="459" t="n"/>
      <c r="R26" s="274">
        <f>IF(B26="","",VLOOKUP(B26,PARAMETROS!$A$2:$F$806,2,FALSE))</f>
        <v/>
      </c>
      <c r="S26" s="453">
        <f>IF(B26="","",VLOOKUP(B26,PARAMETROS!$A$2:$F$806,3,FALSE))</f>
        <v/>
      </c>
      <c r="T26" s="454" t="n"/>
      <c r="U26" s="455" t="n"/>
      <c r="V26" s="148">
        <f>IF(B26="","",VLOOKUP(B26,PARAMETROS!$A$2:$F$806,5,FALSE))</f>
        <v/>
      </c>
      <c r="W26" s="149">
        <f>IF(B26="","",VLOOKUP(B26,PARAMETROS!$A$2:$F$806,4,FALSE))</f>
        <v/>
      </c>
      <c r="X26" s="149" t="n"/>
      <c r="Y26" s="149" t="n"/>
      <c r="Z26" s="312">
        <f>IFERROR(IF(B26="","",VLOOKUP(B26,PARAMETROS!$A$2:$F$806,6,FALSE))*IF(P26&lt;=20,1,IF(P26&lt;=40,2,IF(P26&lt;=60,3,4))),"")</f>
        <v/>
      </c>
      <c r="AA26" s="460" t="n"/>
      <c r="AB26" s="295">
        <f>IF(B26="","",VLOOKUP(B26,PARAMETROS!$A$2:$G$806,7,FALSE))</f>
        <v/>
      </c>
      <c r="AC26" s="461" t="n"/>
      <c r="AD26" s="460" t="n"/>
    </row>
    <row r="27" ht="19.5" customFormat="1" customHeight="1" s="66">
      <c r="A27" s="146">
        <f>IF(B27&lt;&gt;"",ROW(H11),"")</f>
        <v/>
      </c>
      <c r="B27" s="272" t="n"/>
      <c r="C27" s="444" t="n"/>
      <c r="D27" s="444" t="n"/>
      <c r="E27" s="444" t="n"/>
      <c r="F27" s="444" t="n"/>
      <c r="G27" s="444" t="n"/>
      <c r="H27" s="444" t="n"/>
      <c r="I27" s="444" t="n"/>
      <c r="J27" s="444" t="n"/>
      <c r="K27" s="444" t="n"/>
      <c r="L27" s="444" t="n"/>
      <c r="M27" s="444" t="n"/>
      <c r="N27" s="444" t="n"/>
      <c r="O27" s="444" t="n"/>
      <c r="P27" s="458" t="n"/>
      <c r="Q27" s="459" t="n"/>
      <c r="R27" s="274">
        <f>IF(B27="","",VLOOKUP(B27,PARAMETROS!$A$2:$F$806,2,FALSE))</f>
        <v/>
      </c>
      <c r="S27" s="453">
        <f>IF(B27="","",VLOOKUP(B27,PARAMETROS!$A$2:$F$806,3,FALSE))</f>
        <v/>
      </c>
      <c r="T27" s="454" t="n"/>
      <c r="U27" s="455" t="n"/>
      <c r="V27" s="148">
        <f>IF(B27="","",VLOOKUP(B27,PARAMETROS!$A$2:$F$806,5,FALSE))</f>
        <v/>
      </c>
      <c r="W27" s="149">
        <f>IF(B27="","",VLOOKUP(B27,PARAMETROS!$A$2:$F$806,4,FALSE))</f>
        <v/>
      </c>
      <c r="X27" s="149" t="n"/>
      <c r="Y27" s="149" t="n"/>
      <c r="Z27" s="312">
        <f>IFERROR(IF(B27="","",VLOOKUP(B27,PARAMETROS!$A$2:$F$806,6,FALSE))*IF(P27&lt;=20,1,IF(P27&lt;=40,2,IF(P27&lt;=60,3,4))),"")</f>
        <v/>
      </c>
      <c r="AA27" s="460" t="n"/>
      <c r="AB27" s="295">
        <f>IF(B27="","",VLOOKUP(B27,PARAMETROS!$A$2:$G$806,7,FALSE))</f>
        <v/>
      </c>
      <c r="AC27" s="461" t="n"/>
      <c r="AD27" s="460" t="n"/>
    </row>
    <row r="28" ht="20.25" customFormat="1" customHeight="1" s="66">
      <c r="A28" s="146">
        <f>IF(B28&lt;&gt;"",ROW(H12),"")</f>
        <v/>
      </c>
      <c r="B28" s="272" t="n"/>
      <c r="C28" s="444" t="n"/>
      <c r="D28" s="444" t="n"/>
      <c r="E28" s="444" t="n"/>
      <c r="F28" s="444" t="n"/>
      <c r="G28" s="444" t="n"/>
      <c r="H28" s="444" t="n"/>
      <c r="I28" s="444" t="n"/>
      <c r="J28" s="444" t="n"/>
      <c r="K28" s="444" t="n"/>
      <c r="L28" s="444" t="n"/>
      <c r="M28" s="444" t="n"/>
      <c r="N28" s="444" t="n"/>
      <c r="O28" s="444" t="n"/>
      <c r="P28" s="458" t="n"/>
      <c r="Q28" s="459" t="n"/>
      <c r="R28" s="274">
        <f>IF(B28="","",VLOOKUP(B28,PARAMETROS!$A$2:$F$806,2,FALSE))</f>
        <v/>
      </c>
      <c r="S28" s="453">
        <f>IF(B28="","",VLOOKUP(B28,PARAMETROS!$A$2:$F$806,3,FALSE))</f>
        <v/>
      </c>
      <c r="T28" s="454" t="n"/>
      <c r="U28" s="455" t="n"/>
      <c r="V28" s="148">
        <f>IF(B28="","",VLOOKUP(B28,PARAMETROS!$A$2:$F$806,5,FALSE))</f>
        <v/>
      </c>
      <c r="W28" s="149">
        <f>IF(B28="","",VLOOKUP(B28,PARAMETROS!$A$2:$F$806,4,FALSE))</f>
        <v/>
      </c>
      <c r="X28" s="149" t="n"/>
      <c r="Y28" s="149" t="n"/>
      <c r="Z28" s="312">
        <f>IFERROR(IF(B28="","",VLOOKUP(B28,PARAMETROS!$A$2:$F$806,6,FALSE))*IF(P28&lt;=20,1,IF(P28&lt;=40,2,IF(P28&lt;=60,3,4))),"")</f>
        <v/>
      </c>
      <c r="AA28" s="460" t="n"/>
      <c r="AB28" s="295">
        <f>IF(B28="","",VLOOKUP(B28,PARAMETROS!$A$2:$G$806,7,FALSE))</f>
        <v/>
      </c>
      <c r="AC28" s="461" t="n"/>
      <c r="AD28" s="460" t="n"/>
    </row>
    <row r="29" ht="19.5" customFormat="1" customHeight="1" s="66">
      <c r="A29" s="146">
        <f>IF(B29&lt;&gt;"",ROW(H13),"")</f>
        <v/>
      </c>
      <c r="B29" s="272" t="n"/>
      <c r="C29" s="444" t="n"/>
      <c r="D29" s="444" t="n"/>
      <c r="E29" s="444" t="n"/>
      <c r="F29" s="444" t="n"/>
      <c r="G29" s="444" t="n"/>
      <c r="H29" s="444" t="n"/>
      <c r="I29" s="444" t="n"/>
      <c r="J29" s="444" t="n"/>
      <c r="K29" s="444" t="n"/>
      <c r="L29" s="444" t="n"/>
      <c r="M29" s="444" t="n"/>
      <c r="N29" s="444" t="n"/>
      <c r="O29" s="444" t="n"/>
      <c r="P29" s="458" t="n"/>
      <c r="Q29" s="459" t="n"/>
      <c r="R29" s="274">
        <f>IF(B29="","",VLOOKUP(B29,PARAMETROS!$A$2:$F$806,2,FALSE))</f>
        <v/>
      </c>
      <c r="S29" s="453">
        <f>IF(B29="","",VLOOKUP(B29,PARAMETROS!$A$2:$F$806,3,FALSE))</f>
        <v/>
      </c>
      <c r="T29" s="454" t="n"/>
      <c r="U29" s="455" t="n"/>
      <c r="V29" s="148">
        <f>IF(B29="","",VLOOKUP(B29,PARAMETROS!$A$2:$F$806,5,FALSE))</f>
        <v/>
      </c>
      <c r="W29" s="149">
        <f>IF(B29="","",VLOOKUP(B29,PARAMETROS!$A$2:$F$806,4,FALSE))</f>
        <v/>
      </c>
      <c r="X29" s="149" t="n"/>
      <c r="Y29" s="149" t="n"/>
      <c r="Z29" s="312">
        <f>IFERROR(IF(B29="","",VLOOKUP(B29,PARAMETROS!$A$2:$F$806,6,FALSE))*IF(P29&lt;=20,1,IF(P29&lt;=40,2,IF(P29&lt;=60,3,4))),"")</f>
        <v/>
      </c>
      <c r="AA29" s="460" t="n"/>
      <c r="AB29" s="295">
        <f>IF(B29="","",VLOOKUP(B29,PARAMETROS!$A$2:$G$806,7,FALSE))</f>
        <v/>
      </c>
      <c r="AC29" s="461" t="n"/>
      <c r="AD29" s="460" t="n"/>
    </row>
    <row r="30" ht="18.75" customFormat="1" customHeight="1" s="66">
      <c r="A30" s="146">
        <f>IF(B30&lt;&gt;"",ROW(H14),"")</f>
        <v/>
      </c>
      <c r="B30" s="272" t="n"/>
      <c r="C30" s="444" t="n"/>
      <c r="D30" s="444" t="n"/>
      <c r="E30" s="444" t="n"/>
      <c r="F30" s="444" t="n"/>
      <c r="G30" s="444" t="n"/>
      <c r="H30" s="444" t="n"/>
      <c r="I30" s="444" t="n"/>
      <c r="J30" s="444" t="n"/>
      <c r="K30" s="444" t="n"/>
      <c r="L30" s="444" t="n"/>
      <c r="M30" s="444" t="n"/>
      <c r="N30" s="444" t="n"/>
      <c r="O30" s="444" t="n"/>
      <c r="P30" s="458" t="n"/>
      <c r="Q30" s="459" t="n"/>
      <c r="R30" s="274">
        <f>IF(B30="","",VLOOKUP(B30,PARAMETROS!$A$2:$F$806,2,FALSE))</f>
        <v/>
      </c>
      <c r="S30" s="453">
        <f>IF(B30="","",VLOOKUP(B30,PARAMETROS!$A$2:$F$806,3,FALSE))</f>
        <v/>
      </c>
      <c r="T30" s="454" t="n"/>
      <c r="U30" s="455" t="n"/>
      <c r="V30" s="148">
        <f>IF(B30="","",VLOOKUP(B30,PARAMETROS!$A$2:$F$806,5,FALSE))</f>
        <v/>
      </c>
      <c r="W30" s="149">
        <f>IF(B30="","",VLOOKUP(B30,PARAMETROS!$A$2:$F$806,4,FALSE))</f>
        <v/>
      </c>
      <c r="X30" s="149" t="n"/>
      <c r="Y30" s="149" t="n"/>
      <c r="Z30" s="312">
        <f>IFERROR(IF(B30="","",VLOOKUP(B30,PARAMETROS!$A$2:$F$806,6,FALSE))*IF(P30&lt;=20,1,IF(P30&lt;=40,2,IF(P30&lt;=60,3,4))),"")</f>
        <v/>
      </c>
      <c r="AA30" s="460" t="n"/>
      <c r="AB30" s="295">
        <f>IF(B30="","",VLOOKUP(B30,PARAMETROS!$A$2:$G$806,7,FALSE))</f>
        <v/>
      </c>
      <c r="AC30" s="461" t="n"/>
      <c r="AD30" s="460" t="n"/>
    </row>
    <row r="31" ht="18.75" customFormat="1" customHeight="1" s="66">
      <c r="A31" s="146">
        <f>IF(B31&lt;&gt;"",ROW(H15),"")</f>
        <v/>
      </c>
      <c r="B31" s="272" t="n"/>
      <c r="C31" s="444" t="n"/>
      <c r="D31" s="444" t="n"/>
      <c r="E31" s="444" t="n"/>
      <c r="F31" s="444" t="n"/>
      <c r="G31" s="444" t="n"/>
      <c r="H31" s="444" t="n"/>
      <c r="I31" s="444" t="n"/>
      <c r="J31" s="444" t="n"/>
      <c r="K31" s="444" t="n"/>
      <c r="L31" s="444" t="n"/>
      <c r="M31" s="444" t="n"/>
      <c r="N31" s="444" t="n"/>
      <c r="O31" s="444" t="n"/>
      <c r="P31" s="458" t="n"/>
      <c r="Q31" s="459" t="n"/>
      <c r="R31" s="274">
        <f>IF(B31="","",VLOOKUP(B31,PARAMETROS!$A$2:$F$806,2,FALSE))</f>
        <v/>
      </c>
      <c r="S31" s="453">
        <f>IF(B31="","",VLOOKUP(B31,PARAMETROS!$A$2:$F$806,3,FALSE))</f>
        <v/>
      </c>
      <c r="T31" s="454" t="n"/>
      <c r="U31" s="455" t="n"/>
      <c r="V31" s="148">
        <f>IF(B31="","",VLOOKUP(B31,PARAMETROS!$A$2:$F$806,5,FALSE))</f>
        <v/>
      </c>
      <c r="W31" s="149">
        <f>IF(B31="","",VLOOKUP(B31,PARAMETROS!$A$2:$F$806,4,FALSE))</f>
        <v/>
      </c>
      <c r="X31" s="149" t="n"/>
      <c r="Y31" s="149" t="n"/>
      <c r="Z31" s="312">
        <f>IFERROR(IF(B31="","",VLOOKUP(B31,PARAMETROS!$A$2:$F$806,6,FALSE))*IF(P31&lt;=20,1,IF(P31&lt;=40,2,IF(P31&lt;=60,3,4))),"")</f>
        <v/>
      </c>
      <c r="AA31" s="460" t="n"/>
      <c r="AB31" s="295">
        <f>IF(B31="","",VLOOKUP(B31,PARAMETROS!$A$2:$G$806,7,FALSE))</f>
        <v/>
      </c>
      <c r="AC31" s="461" t="n"/>
      <c r="AD31" s="460" t="n"/>
    </row>
    <row r="32" ht="18.75" customFormat="1" customHeight="1" s="66">
      <c r="A32" s="146">
        <f>IF(B32&lt;&gt;"",ROW(H16),"")</f>
        <v/>
      </c>
      <c r="B32" s="272" t="n"/>
      <c r="C32" s="444" t="n"/>
      <c r="D32" s="444" t="n"/>
      <c r="E32" s="444" t="n"/>
      <c r="F32" s="444" t="n"/>
      <c r="G32" s="444" t="n"/>
      <c r="H32" s="444" t="n"/>
      <c r="I32" s="444" t="n"/>
      <c r="J32" s="444" t="n"/>
      <c r="K32" s="444" t="n"/>
      <c r="L32" s="444" t="n"/>
      <c r="M32" s="444" t="n"/>
      <c r="N32" s="444" t="n"/>
      <c r="O32" s="444" t="n"/>
      <c r="P32" s="458" t="n"/>
      <c r="Q32" s="459" t="n"/>
      <c r="R32" s="274">
        <f>IF(B32="","",VLOOKUP(B32,PARAMETROS!$A$2:$F$806,2,FALSE))</f>
        <v/>
      </c>
      <c r="S32" s="453">
        <f>IF(B32="","",VLOOKUP(B32,PARAMETROS!$A$2:$F$806,3,FALSE))</f>
        <v/>
      </c>
      <c r="T32" s="454" t="n"/>
      <c r="U32" s="455" t="n"/>
      <c r="V32" s="148">
        <f>IF(B32="","",VLOOKUP(B32,PARAMETROS!$A$2:$F$806,5,FALSE))</f>
        <v/>
      </c>
      <c r="W32" s="149">
        <f>IF(B32="","",VLOOKUP(B32,PARAMETROS!$A$2:$F$806,4,FALSE))</f>
        <v/>
      </c>
      <c r="X32" s="149" t="n"/>
      <c r="Y32" s="149" t="n"/>
      <c r="Z32" s="312">
        <f>IFERROR(IF(B32="","",VLOOKUP(B32,PARAMETROS!$A$2:$F$806,6,FALSE))*IF(P32&lt;=20,1,IF(P32&lt;=40,2,IF(P32&lt;=60,3,4))),"")</f>
        <v/>
      </c>
      <c r="AA32" s="460" t="n"/>
      <c r="AB32" s="295">
        <f>IF(B32="","",VLOOKUP(B32,PARAMETROS!$A$2:$G$806,7,FALSE))</f>
        <v/>
      </c>
      <c r="AC32" s="461" t="n"/>
      <c r="AD32" s="460" t="n"/>
    </row>
    <row r="33" ht="18.75" customFormat="1" customHeight="1" s="66">
      <c r="A33" s="146">
        <f>IF(B33&lt;&gt;"",ROW(H17),"")</f>
        <v/>
      </c>
      <c r="B33" s="272" t="n"/>
      <c r="C33" s="444" t="n"/>
      <c r="D33" s="444" t="n"/>
      <c r="E33" s="444" t="n"/>
      <c r="F33" s="444" t="n"/>
      <c r="G33" s="444" t="n"/>
      <c r="H33" s="444" t="n"/>
      <c r="I33" s="444" t="n"/>
      <c r="J33" s="444" t="n"/>
      <c r="K33" s="444" t="n"/>
      <c r="L33" s="444" t="n"/>
      <c r="M33" s="444" t="n"/>
      <c r="N33" s="444" t="n"/>
      <c r="O33" s="444" t="n"/>
      <c r="P33" s="458" t="n"/>
      <c r="Q33" s="459" t="n"/>
      <c r="R33" s="274">
        <f>IF(B33="","",VLOOKUP(B33,PARAMETROS!$A$2:$F$806,2,FALSE))</f>
        <v/>
      </c>
      <c r="S33" s="453">
        <f>IF(B33="","",VLOOKUP(B33,PARAMETROS!$A$2:$F$806,3,FALSE))</f>
        <v/>
      </c>
      <c r="T33" s="454" t="n"/>
      <c r="U33" s="455" t="n"/>
      <c r="V33" s="148">
        <f>IF(B33="","",VLOOKUP(B33,PARAMETROS!$A$2:$F$806,5,FALSE))</f>
        <v/>
      </c>
      <c r="W33" s="149">
        <f>IF(B33="","",VLOOKUP(B33,PARAMETROS!$A$2:$F$806,4,FALSE))</f>
        <v/>
      </c>
      <c r="X33" s="149" t="n"/>
      <c r="Y33" s="149" t="n"/>
      <c r="Z33" s="312">
        <f>IFERROR(IF(B33="","",VLOOKUP(B33,PARAMETROS!$A$2:$F$806,6,FALSE))*IF(P33&lt;=20,1,IF(P33&lt;=40,2,IF(P33&lt;=60,3,4))),"")</f>
        <v/>
      </c>
      <c r="AA33" s="460" t="n"/>
      <c r="AB33" s="295">
        <f>IF(B33="","",VLOOKUP(B33,PARAMETROS!$A$2:$G$806,7,FALSE))</f>
        <v/>
      </c>
      <c r="AC33" s="461" t="n"/>
      <c r="AD33" s="460" t="n"/>
    </row>
    <row r="34" ht="18.75" customFormat="1" customHeight="1" s="66">
      <c r="A34" s="146">
        <f>IF(B34&lt;&gt;"",ROW(H18),"")</f>
        <v/>
      </c>
      <c r="B34" s="272" t="n"/>
      <c r="C34" s="444" t="n"/>
      <c r="D34" s="444" t="n"/>
      <c r="E34" s="444" t="n"/>
      <c r="F34" s="444" t="n"/>
      <c r="G34" s="444" t="n"/>
      <c r="H34" s="444" t="n"/>
      <c r="I34" s="444" t="n"/>
      <c r="J34" s="444" t="n"/>
      <c r="K34" s="444" t="n"/>
      <c r="L34" s="444" t="n"/>
      <c r="M34" s="444" t="n"/>
      <c r="N34" s="444" t="n"/>
      <c r="O34" s="444" t="n"/>
      <c r="P34" s="458" t="n"/>
      <c r="Q34" s="459" t="n"/>
      <c r="R34" s="274">
        <f>IF(B34="","",VLOOKUP(B34,PARAMETROS!$A$2:$F$806,2,FALSE))</f>
        <v/>
      </c>
      <c r="S34" s="453">
        <f>IF(B34="","",VLOOKUP(B34,PARAMETROS!$A$2:$F$806,3,FALSE))</f>
        <v/>
      </c>
      <c r="T34" s="454" t="n"/>
      <c r="U34" s="455" t="n"/>
      <c r="V34" s="148">
        <f>IF(B34="","",VLOOKUP(B34,PARAMETROS!$A$2:$F$806,5,FALSE))</f>
        <v/>
      </c>
      <c r="W34" s="149">
        <f>IF(B34="","",VLOOKUP(B34,PARAMETROS!$A$2:$F$806,4,FALSE))</f>
        <v/>
      </c>
      <c r="X34" s="149" t="n"/>
      <c r="Y34" s="149" t="n"/>
      <c r="Z34" s="312">
        <f>IFERROR(IF(B34="","",VLOOKUP(B34,PARAMETROS!$A$2:$F$806,6,FALSE))*IF(P34&lt;=20,1,IF(P34&lt;=40,2,IF(P34&lt;=60,3,4))),"")</f>
        <v/>
      </c>
      <c r="AA34" s="460" t="n"/>
      <c r="AB34" s="295">
        <f>IF(B34="","",VLOOKUP(B34,PARAMETROS!$A$2:$G$806,7,FALSE))</f>
        <v/>
      </c>
      <c r="AC34" s="461" t="n"/>
      <c r="AD34" s="460" t="n"/>
    </row>
    <row r="35" ht="18.75" customFormat="1" customHeight="1" s="66">
      <c r="A35" s="146">
        <f>IF(B35&lt;&gt;"",ROW(H18),"")</f>
        <v/>
      </c>
      <c r="B35" s="272" t="n"/>
      <c r="C35" s="444" t="n"/>
      <c r="D35" s="444" t="n"/>
      <c r="E35" s="444" t="n"/>
      <c r="F35" s="444" t="n"/>
      <c r="G35" s="444" t="n"/>
      <c r="H35" s="444" t="n"/>
      <c r="I35" s="444" t="n"/>
      <c r="J35" s="444" t="n"/>
      <c r="K35" s="444" t="n"/>
      <c r="L35" s="444" t="n"/>
      <c r="M35" s="444" t="n"/>
      <c r="N35" s="444" t="n"/>
      <c r="O35" s="444" t="n"/>
      <c r="P35" s="458" t="n"/>
      <c r="Q35" s="459" t="n"/>
      <c r="R35" s="274">
        <f>IF(B35="","",VLOOKUP(B35,PARAMETROS!$A$2:$F$806,2,FALSE))</f>
        <v/>
      </c>
      <c r="S35" s="453">
        <f>IF(B35="","",VLOOKUP(B35,PARAMETROS!$A$2:$F$806,3,FALSE))</f>
        <v/>
      </c>
      <c r="T35" s="454" t="n"/>
      <c r="U35" s="455" t="n"/>
      <c r="V35" s="148">
        <f>IF(B35="","",VLOOKUP(B35,PARAMETROS!$A$2:$F$806,5,FALSE))</f>
        <v/>
      </c>
      <c r="W35" s="149">
        <f>IF(B35="","",VLOOKUP(B35,PARAMETROS!$A$2:$F$806,4,FALSE))</f>
        <v/>
      </c>
      <c r="X35" s="149" t="n"/>
      <c r="Y35" s="149" t="n"/>
      <c r="Z35" s="312">
        <f>IFERROR(IF(B35="","",VLOOKUP(B35,PARAMETROS!$A$2:$F$806,6,FALSE))*IF(P35&lt;=20,1,IF(P35&lt;=40,2,IF(P35&lt;=60,3,4))),"")</f>
        <v/>
      </c>
      <c r="AA35" s="460" t="n"/>
      <c r="AB35" s="295">
        <f>IF(B35="","",VLOOKUP(B35,PARAMETROS!$A$2:$G$806,7,FALSE))</f>
        <v/>
      </c>
      <c r="AC35" s="461" t="n"/>
      <c r="AD35" s="460" t="n"/>
    </row>
    <row r="36" ht="18.75" customFormat="1" customHeight="1" s="66">
      <c r="A36" s="146">
        <f>IF(B36&lt;&gt;"",ROW(H19),"")</f>
        <v/>
      </c>
      <c r="B36" s="272" t="n"/>
      <c r="C36" s="444" t="n"/>
      <c r="D36" s="444" t="n"/>
      <c r="E36" s="444" t="n"/>
      <c r="F36" s="444" t="n"/>
      <c r="G36" s="444" t="n"/>
      <c r="H36" s="444" t="n"/>
      <c r="I36" s="444" t="n"/>
      <c r="J36" s="444" t="n"/>
      <c r="K36" s="444" t="n"/>
      <c r="L36" s="444" t="n"/>
      <c r="M36" s="444" t="n"/>
      <c r="N36" s="444" t="n"/>
      <c r="O36" s="444" t="n"/>
      <c r="P36" s="458" t="n"/>
      <c r="Q36" s="459" t="n"/>
      <c r="R36" s="274">
        <f>IF(B36="","",VLOOKUP(B36,PARAMETROS!$A$2:$F$806,2,FALSE))</f>
        <v/>
      </c>
      <c r="S36" s="453">
        <f>IF(B36="","",VLOOKUP(B36,PARAMETROS!$A$2:$F$806,3,FALSE))</f>
        <v/>
      </c>
      <c r="T36" s="454" t="n"/>
      <c r="U36" s="455" t="n"/>
      <c r="V36" s="148">
        <f>IF(B36="","",VLOOKUP(B36,PARAMETROS!$A$2:$F$806,5,FALSE))</f>
        <v/>
      </c>
      <c r="W36" s="149">
        <f>IF(B36="","",VLOOKUP(B36,PARAMETROS!$A$2:$F$806,4,FALSE))</f>
        <v/>
      </c>
      <c r="X36" s="149" t="n"/>
      <c r="Y36" s="149" t="n"/>
      <c r="Z36" s="312">
        <f>IFERROR(IF(B36="","",VLOOKUP(B36,PARAMETROS!$A$2:$F$806,6,FALSE))*IF(P36&lt;=20,1,IF(P36&lt;=40,2,IF(P36&lt;=60,3,4))),"")</f>
        <v/>
      </c>
      <c r="AA36" s="460" t="n"/>
      <c r="AB36" s="295">
        <f>IF(B36="","",VLOOKUP(B36,PARAMETROS!$A$2:$G$806,7,FALSE))</f>
        <v/>
      </c>
      <c r="AC36" s="461" t="n"/>
      <c r="AD36" s="460" t="n"/>
    </row>
    <row r="37" ht="18.75" customFormat="1" customHeight="1" s="66">
      <c r="A37" s="146">
        <f>IF(B37&lt;&gt;"",ROW(H19),"")</f>
        <v/>
      </c>
      <c r="B37" s="272" t="n"/>
      <c r="C37" s="444" t="n"/>
      <c r="D37" s="444" t="n"/>
      <c r="E37" s="444" t="n"/>
      <c r="F37" s="444" t="n"/>
      <c r="G37" s="444" t="n"/>
      <c r="H37" s="444" t="n"/>
      <c r="I37" s="444" t="n"/>
      <c r="J37" s="444" t="n"/>
      <c r="K37" s="444" t="n"/>
      <c r="L37" s="444" t="n"/>
      <c r="M37" s="444" t="n"/>
      <c r="N37" s="444" t="n"/>
      <c r="O37" s="444" t="n"/>
      <c r="P37" s="458" t="n"/>
      <c r="Q37" s="459" t="n"/>
      <c r="R37" s="274">
        <f>IF(B37="","",VLOOKUP(B37,PARAMETROS!$A$2:$F$806,2,FALSE))</f>
        <v/>
      </c>
      <c r="S37" s="453">
        <f>IF(B37="","",VLOOKUP(B37,PARAMETROS!$A$2:$F$806,3,FALSE))</f>
        <v/>
      </c>
      <c r="T37" s="454" t="n"/>
      <c r="U37" s="455" t="n"/>
      <c r="V37" s="148">
        <f>IF(B37="","",VLOOKUP(B37,PARAMETROS!$A$2:$F$806,5,FALSE))</f>
        <v/>
      </c>
      <c r="W37" s="149">
        <f>IF(B37="","",VLOOKUP(B37,PARAMETROS!$A$2:$F$806,4,FALSE))</f>
        <v/>
      </c>
      <c r="X37" s="149" t="n"/>
      <c r="Y37" s="149" t="n"/>
      <c r="Z37" s="312">
        <f>IFERROR(IF(B37="","",VLOOKUP(B37,PARAMETROS!$A$2:$F$806,6,FALSE))*IF(P37&lt;=20,1,IF(P37&lt;=40,2,IF(P37&lt;=60,3,4))),"")</f>
        <v/>
      </c>
      <c r="AA37" s="460" t="n"/>
      <c r="AB37" s="295">
        <f>IF(B37="","",VLOOKUP(B37,PARAMETROS!$A$2:$G$806,7,FALSE))</f>
        <v/>
      </c>
      <c r="AC37" s="461" t="n"/>
      <c r="AD37" s="460" t="n"/>
    </row>
    <row r="38" ht="18.75" customFormat="1" customHeight="1" s="66">
      <c r="A38" s="146">
        <f>IF(B38&lt;&gt;"",ROW(H21),"")</f>
        <v/>
      </c>
      <c r="B38" s="272" t="n"/>
      <c r="C38" s="444" t="n"/>
      <c r="D38" s="444" t="n"/>
      <c r="E38" s="444" t="n"/>
      <c r="F38" s="444" t="n"/>
      <c r="G38" s="444" t="n"/>
      <c r="H38" s="444" t="n"/>
      <c r="I38" s="444" t="n"/>
      <c r="J38" s="444" t="n"/>
      <c r="K38" s="444" t="n"/>
      <c r="L38" s="444" t="n"/>
      <c r="M38" s="444" t="n"/>
      <c r="N38" s="444" t="n"/>
      <c r="O38" s="444" t="n"/>
      <c r="P38" s="458" t="n"/>
      <c r="Q38" s="459" t="n"/>
      <c r="R38" s="274">
        <f>IF(B38="","",VLOOKUP(B38,PARAMETROS!$A$2:$F$806,2,FALSE))</f>
        <v/>
      </c>
      <c r="S38" s="453">
        <f>IF(B38="","",VLOOKUP(B38,PARAMETROS!$A$2:$F$806,3,FALSE))</f>
        <v/>
      </c>
      <c r="T38" s="454" t="n"/>
      <c r="U38" s="455" t="n"/>
      <c r="V38" s="148">
        <f>IF(B38="","",VLOOKUP(B38,PARAMETROS!$A$2:$F$806,5,FALSE))</f>
        <v/>
      </c>
      <c r="W38" s="149">
        <f>IF(B38="","",VLOOKUP(B38,PARAMETROS!$A$2:$F$806,4,FALSE))</f>
        <v/>
      </c>
      <c r="X38" s="149" t="n"/>
      <c r="Y38" s="149" t="n"/>
      <c r="Z38" s="312">
        <f>IFERROR(IF(B38="","",VLOOKUP(B38,PARAMETROS!$A$2:$F$806,6,FALSE))*IF(P38&lt;=20,1,IF(P38&lt;=40,2,IF(P38&lt;=60,3,4))),"")</f>
        <v/>
      </c>
      <c r="AA38" s="460" t="n"/>
      <c r="AB38" s="295">
        <f>IF(B38="","",VLOOKUP(B38,PARAMETROS!$A$2:$G$806,7,FALSE))</f>
        <v/>
      </c>
      <c r="AC38" s="461" t="n"/>
      <c r="AD38" s="460" t="n"/>
    </row>
    <row r="39" ht="18.75" customFormat="1" customHeight="1" s="66">
      <c r="A39" s="146">
        <f>IF(B39&lt;&gt;"",ROW(H20),"")</f>
        <v/>
      </c>
      <c r="B39" s="272" t="n"/>
      <c r="C39" s="444" t="n"/>
      <c r="D39" s="444" t="n"/>
      <c r="E39" s="444" t="n"/>
      <c r="F39" s="444" t="n"/>
      <c r="G39" s="444" t="n"/>
      <c r="H39" s="444" t="n"/>
      <c r="I39" s="444" t="n"/>
      <c r="J39" s="444" t="n"/>
      <c r="K39" s="444" t="n"/>
      <c r="L39" s="444" t="n"/>
      <c r="M39" s="444" t="n"/>
      <c r="N39" s="444" t="n"/>
      <c r="O39" s="444" t="n"/>
      <c r="P39" s="458" t="n"/>
      <c r="Q39" s="459" t="n"/>
      <c r="R39" s="274">
        <f>IF(B39="","",VLOOKUP(B39,PARAMETROS!$A$2:$F$806,2,FALSE))</f>
        <v/>
      </c>
      <c r="S39" s="453">
        <f>IF(B39="","",VLOOKUP(B39,PARAMETROS!$A$2:$F$806,3,FALSE))</f>
        <v/>
      </c>
      <c r="T39" s="454" t="n"/>
      <c r="U39" s="455" t="n"/>
      <c r="V39" s="148">
        <f>IF(B39="","",VLOOKUP(B39,PARAMETROS!$A$2:$F$806,5,FALSE))</f>
        <v/>
      </c>
      <c r="W39" s="149">
        <f>IF(B39="","",VLOOKUP(B39,PARAMETROS!$A$2:$F$806,4,FALSE))</f>
        <v/>
      </c>
      <c r="X39" s="149" t="n"/>
      <c r="Y39" s="149" t="n"/>
      <c r="Z39" s="312">
        <f>IFERROR(IF(B39="","",VLOOKUP(B39,PARAMETROS!$A$2:$F$806,6,FALSE))*IF(P39&lt;=20,1,IF(P39&lt;=40,2,IF(P39&lt;=60,3,4))),"")</f>
        <v/>
      </c>
      <c r="AA39" s="460" t="n"/>
      <c r="AB39" s="295">
        <f>IF(B39="","",VLOOKUP(B39,PARAMETROS!$A$2:$G$806,7,FALSE))</f>
        <v/>
      </c>
      <c r="AC39" s="461" t="n"/>
      <c r="AD39" s="460" t="n"/>
    </row>
    <row r="40" ht="18.75" customFormat="1" customHeight="1" s="66">
      <c r="A40" s="146">
        <f>IF(B40&lt;&gt;"",ROW(H21),"")</f>
        <v/>
      </c>
      <c r="B40" s="272" t="n"/>
      <c r="C40" s="444" t="n"/>
      <c r="D40" s="444" t="n"/>
      <c r="E40" s="444" t="n"/>
      <c r="F40" s="444" t="n"/>
      <c r="G40" s="444" t="n"/>
      <c r="H40" s="444" t="n"/>
      <c r="I40" s="444" t="n"/>
      <c r="J40" s="444" t="n"/>
      <c r="K40" s="444" t="n"/>
      <c r="L40" s="444" t="n"/>
      <c r="M40" s="444" t="n"/>
      <c r="N40" s="444" t="n"/>
      <c r="O40" s="444" t="n"/>
      <c r="P40" s="458" t="n"/>
      <c r="Q40" s="459" t="n"/>
      <c r="R40" s="274">
        <f>IF(B40="","",VLOOKUP(B40,PARAMETROS!$A$2:$F$806,2,FALSE))</f>
        <v/>
      </c>
      <c r="S40" s="453">
        <f>IF(B40="","",VLOOKUP(B40,PARAMETROS!$A$2:$F$806,3,FALSE))</f>
        <v/>
      </c>
      <c r="T40" s="454" t="n"/>
      <c r="U40" s="455" t="n"/>
      <c r="V40" s="148">
        <f>IF(B40="","",VLOOKUP(B40,PARAMETROS!$A$2:$F$806,5,FALSE))</f>
        <v/>
      </c>
      <c r="W40" s="149">
        <f>IF(B40="","",VLOOKUP(B40,PARAMETROS!$A$2:$F$806,4,FALSE))</f>
        <v/>
      </c>
      <c r="X40" s="149" t="n"/>
      <c r="Y40" s="149" t="n"/>
      <c r="Z40" s="312">
        <f>IFERROR(IF(B40="","",VLOOKUP(B40,PARAMETROS!$A$2:$F$806,6,FALSE))*IF(P40&lt;=20,1,IF(P40&lt;=40,2,IF(P40&lt;=60,3,4))),"")</f>
        <v/>
      </c>
      <c r="AA40" s="460" t="n"/>
      <c r="AB40" s="295">
        <f>IF(B40="","",VLOOKUP(B40,PARAMETROS!$A$2:$G$806,7,FALSE))</f>
        <v/>
      </c>
      <c r="AC40" s="461" t="n"/>
      <c r="AD40" s="460" t="n"/>
    </row>
    <row r="41" ht="18.75" customFormat="1" customHeight="1" s="66">
      <c r="A41" s="146">
        <f>IF(B41&lt;&gt;"",ROW(H22),"")</f>
        <v/>
      </c>
      <c r="B41" s="272" t="n"/>
      <c r="C41" s="444" t="n"/>
      <c r="D41" s="444" t="n"/>
      <c r="E41" s="444" t="n"/>
      <c r="F41" s="444" t="n"/>
      <c r="G41" s="444" t="n"/>
      <c r="H41" s="444" t="n"/>
      <c r="I41" s="444" t="n"/>
      <c r="J41" s="444" t="n"/>
      <c r="K41" s="444" t="n"/>
      <c r="L41" s="444" t="n"/>
      <c r="M41" s="444" t="n"/>
      <c r="N41" s="444" t="n"/>
      <c r="O41" s="444" t="n"/>
      <c r="P41" s="458" t="n"/>
      <c r="Q41" s="459" t="n"/>
      <c r="R41" s="274">
        <f>IF(B41="","",VLOOKUP(B41,PARAMETROS!$A$2:$F$806,2,FALSE))</f>
        <v/>
      </c>
      <c r="S41" s="453">
        <f>IF(B41="","",VLOOKUP(B41,PARAMETROS!$A$2:$F$806,3,FALSE))</f>
        <v/>
      </c>
      <c r="T41" s="454" t="n"/>
      <c r="U41" s="455" t="n"/>
      <c r="V41" s="148">
        <f>IF(B41="","",VLOOKUP(B41,PARAMETROS!$A$2:$F$806,5,FALSE))</f>
        <v/>
      </c>
      <c r="W41" s="149">
        <f>IF(B41="","",VLOOKUP(B41,PARAMETROS!$A$2:$F$806,4,FALSE))</f>
        <v/>
      </c>
      <c r="X41" s="149" t="n"/>
      <c r="Y41" s="149" t="n"/>
      <c r="Z41" s="312">
        <f>IFERROR(IF(B41="","",VLOOKUP(B41,PARAMETROS!$A$2:$F$806,6,FALSE))*IF(P41&lt;=20,1,IF(P41&lt;=40,2,IF(P41&lt;=60,3,4))),"")</f>
        <v/>
      </c>
      <c r="AA41" s="460" t="n"/>
      <c r="AB41" s="295">
        <f>IF(B41="","",VLOOKUP(B41,PARAMETROS!$A$2:$G$806,7,FALSE))</f>
        <v/>
      </c>
      <c r="AC41" s="461" t="n"/>
      <c r="AD41" s="460" t="n"/>
    </row>
    <row r="42" ht="18.75" customFormat="1" customHeight="1" s="66">
      <c r="A42" s="146">
        <f>IF(B42&lt;&gt;"",ROW(H23),"")</f>
        <v/>
      </c>
      <c r="B42" s="272" t="n"/>
      <c r="C42" s="444" t="n"/>
      <c r="D42" s="444" t="n"/>
      <c r="E42" s="444" t="n"/>
      <c r="F42" s="444" t="n"/>
      <c r="G42" s="444" t="n"/>
      <c r="H42" s="444" t="n"/>
      <c r="I42" s="444" t="n"/>
      <c r="J42" s="444" t="n"/>
      <c r="K42" s="444" t="n"/>
      <c r="L42" s="444" t="n"/>
      <c r="M42" s="444" t="n"/>
      <c r="N42" s="444" t="n"/>
      <c r="O42" s="444" t="n"/>
      <c r="P42" s="458" t="n"/>
      <c r="Q42" s="459" t="n"/>
      <c r="R42" s="274">
        <f>IF(B42="","",VLOOKUP(B42,PARAMETROS!$A$2:$F$806,2,FALSE))</f>
        <v/>
      </c>
      <c r="S42" s="453">
        <f>IF(B42="","",VLOOKUP(B42,PARAMETROS!$A$2:$F$806,3,FALSE))</f>
        <v/>
      </c>
      <c r="T42" s="454" t="n"/>
      <c r="U42" s="455" t="n"/>
      <c r="V42" s="148">
        <f>IF(B42="","",VLOOKUP(B42,PARAMETROS!$A$2:$F$806,5,FALSE))</f>
        <v/>
      </c>
      <c r="W42" s="149">
        <f>IF(B42="","",VLOOKUP(B42,PARAMETROS!$A$2:$F$806,4,FALSE))</f>
        <v/>
      </c>
      <c r="X42" s="149" t="n"/>
      <c r="Y42" s="149" t="n"/>
      <c r="Z42" s="312">
        <f>IFERROR(IF(B42="","",VLOOKUP(B42,PARAMETROS!$A$2:$F$806,6,FALSE))*IF(P42&lt;=20,1,IF(P42&lt;=40,2,IF(P42&lt;=60,3,4))),"")</f>
        <v/>
      </c>
      <c r="AA42" s="460" t="n"/>
      <c r="AB42" s="295">
        <f>IF(B42="","",VLOOKUP(B42,PARAMETROS!$A$2:$G$806,7,FALSE))</f>
        <v/>
      </c>
      <c r="AC42" s="461" t="n"/>
      <c r="AD42" s="460" t="n"/>
    </row>
    <row r="43" ht="21.75" customFormat="1" customHeight="1" s="66">
      <c r="A43" s="146">
        <f>IF(B43&lt;&gt;"",ROW(H24),"")</f>
        <v/>
      </c>
      <c r="B43" s="272" t="n"/>
      <c r="C43" s="444" t="n"/>
      <c r="D43" s="444" t="n"/>
      <c r="E43" s="444" t="n"/>
      <c r="F43" s="444" t="n"/>
      <c r="G43" s="444" t="n"/>
      <c r="H43" s="444" t="n"/>
      <c r="I43" s="444" t="n"/>
      <c r="J43" s="444" t="n"/>
      <c r="K43" s="444" t="n"/>
      <c r="L43" s="444" t="n"/>
      <c r="M43" s="444" t="n"/>
      <c r="N43" s="444" t="n"/>
      <c r="O43" s="444" t="n"/>
      <c r="P43" s="458" t="n"/>
      <c r="Q43" s="459" t="n"/>
      <c r="R43" s="274">
        <f>IF(B43="","",VLOOKUP(B43,PARAMETROS!$A$2:$F$806,2,FALSE))</f>
        <v/>
      </c>
      <c r="S43" s="453">
        <f>IF(B43="","",VLOOKUP(B43,PARAMETROS!$A$2:$F$806,3,FALSE))</f>
        <v/>
      </c>
      <c r="T43" s="454" t="n"/>
      <c r="U43" s="455" t="n"/>
      <c r="V43" s="148">
        <f>IF(B43="","",VLOOKUP(B43,PARAMETROS!$A$2:$F$806,5,FALSE))</f>
        <v/>
      </c>
      <c r="W43" s="149">
        <f>IF(B43="","",VLOOKUP(B43,PARAMETROS!$A$2:$F$806,4,FALSE))</f>
        <v/>
      </c>
      <c r="X43" s="149" t="n"/>
      <c r="Y43" s="149" t="n"/>
      <c r="Z43" s="312">
        <f>IFERROR(IF(B43="","",VLOOKUP(B43,PARAMETROS!$A$2:$F$806,6,FALSE))*IF(P43&lt;=20,1,IF(P43&lt;=40,2,IF(P43&lt;=60,3,4))),"")</f>
        <v/>
      </c>
      <c r="AA43" s="460" t="n"/>
      <c r="AB43" s="295">
        <f>IF(B43="","",VLOOKUP(B43,PARAMETROS!$A$2:$G$806,7,FALSE))</f>
        <v/>
      </c>
      <c r="AC43" s="461" t="n"/>
      <c r="AD43" s="460" t="n"/>
    </row>
    <row r="44" ht="18.75" customFormat="1" customHeight="1" s="66">
      <c r="A44" s="146">
        <f>IF(B44&lt;&gt;"",ROW(H25),"")</f>
        <v/>
      </c>
      <c r="B44" s="272" t="n"/>
      <c r="C44" s="444" t="n"/>
      <c r="D44" s="444" t="n"/>
      <c r="E44" s="444" t="n"/>
      <c r="F44" s="444" t="n"/>
      <c r="G44" s="444" t="n"/>
      <c r="H44" s="444" t="n"/>
      <c r="I44" s="444" t="n"/>
      <c r="J44" s="444" t="n"/>
      <c r="K44" s="444" t="n"/>
      <c r="L44" s="444" t="n"/>
      <c r="M44" s="444" t="n"/>
      <c r="N44" s="444" t="n"/>
      <c r="O44" s="444" t="n"/>
      <c r="P44" s="458" t="n"/>
      <c r="Q44" s="459" t="n"/>
      <c r="R44" s="274">
        <f>IF(B44="","",VLOOKUP(B44,PARAMETROS!$A$2:$F$806,2,FALSE))</f>
        <v/>
      </c>
      <c r="S44" s="453">
        <f>IF(B44="","",VLOOKUP(B44,PARAMETROS!$A$2:$F$806,3,FALSE))</f>
        <v/>
      </c>
      <c r="T44" s="454" t="n"/>
      <c r="U44" s="455" t="n"/>
      <c r="V44" s="148">
        <f>IF(B44="","",VLOOKUP(B44,PARAMETROS!$A$2:$F$806,5,FALSE))</f>
        <v/>
      </c>
      <c r="W44" s="149">
        <f>IF(B44="","",VLOOKUP(B44,PARAMETROS!$A$2:$F$806,4,FALSE))</f>
        <v/>
      </c>
      <c r="X44" s="149" t="n"/>
      <c r="Y44" s="149" t="n"/>
      <c r="Z44" s="312">
        <f>IFERROR(IF(B44="","",VLOOKUP(B44,PARAMETROS!$A$2:$F$806,6,FALSE))*IF(P44&lt;=20,1,IF(P44&lt;=40,2,IF(P44&lt;=60,3,4))),"")</f>
        <v/>
      </c>
      <c r="AA44" s="460" t="n"/>
      <c r="AB44" s="295">
        <f>IF(B44="","",VLOOKUP(B44,PARAMETROS!$A$2:$G$806,7,FALSE))</f>
        <v/>
      </c>
      <c r="AC44" s="461" t="n"/>
      <c r="AD44" s="460" t="n"/>
    </row>
    <row r="45" ht="21.75" customFormat="1" customHeight="1" s="66">
      <c r="A45" s="146">
        <f>IF(B45&lt;&gt;"",ROW(H26),"")</f>
        <v/>
      </c>
      <c r="B45" s="272" t="n"/>
      <c r="C45" s="444" t="n"/>
      <c r="D45" s="444" t="n"/>
      <c r="E45" s="444" t="n"/>
      <c r="F45" s="444" t="n"/>
      <c r="G45" s="444" t="n"/>
      <c r="H45" s="444" t="n"/>
      <c r="I45" s="444" t="n"/>
      <c r="J45" s="444" t="n"/>
      <c r="K45" s="444" t="n"/>
      <c r="L45" s="444" t="n"/>
      <c r="M45" s="444" t="n"/>
      <c r="N45" s="444" t="n"/>
      <c r="O45" s="444" t="n"/>
      <c r="P45" s="458" t="n"/>
      <c r="Q45" s="459" t="n"/>
      <c r="R45" s="274">
        <f>IF(B45="","",VLOOKUP(B45,PARAMETROS!$A$2:$F$806,2,FALSE))</f>
        <v/>
      </c>
      <c r="S45" s="453">
        <f>IF(B45="","",VLOOKUP(B45,PARAMETROS!$A$2:$F$806,3,FALSE))</f>
        <v/>
      </c>
      <c r="T45" s="454" t="n"/>
      <c r="U45" s="455" t="n"/>
      <c r="V45" s="148">
        <f>IF(B45="","",VLOOKUP(B45,PARAMETROS!$A$2:$F$806,5,FALSE))</f>
        <v/>
      </c>
      <c r="W45" s="149">
        <f>IF(B45="","",VLOOKUP(B45,PARAMETROS!$A$2:$F$806,4,FALSE))</f>
        <v/>
      </c>
      <c r="X45" s="149" t="n"/>
      <c r="Y45" s="149" t="n"/>
      <c r="Z45" s="312">
        <f>IFERROR(IF(B45="","",VLOOKUP(B45,PARAMETROS!$A$2:$F$806,6,FALSE))*IF(P45&lt;=20,1,IF(P45&lt;=40,2,IF(P45&lt;=60,3,4))),"")</f>
        <v/>
      </c>
      <c r="AA45" s="460" t="n"/>
      <c r="AB45" s="295">
        <f>IF(B45="","",VLOOKUP(B45,PARAMETROS!$A$2:$G$806,7,FALSE))</f>
        <v/>
      </c>
      <c r="AC45" s="461" t="n"/>
      <c r="AD45" s="460" t="n"/>
    </row>
    <row r="46" ht="21.75" customFormat="1" customHeight="1" s="66">
      <c r="A46" s="146">
        <f>IF(B46&lt;&gt;"",ROW(H27),"")</f>
        <v/>
      </c>
      <c r="B46" s="272" t="n"/>
      <c r="C46" s="444" t="n"/>
      <c r="D46" s="444" t="n"/>
      <c r="E46" s="444" t="n"/>
      <c r="F46" s="444" t="n"/>
      <c r="G46" s="444" t="n"/>
      <c r="H46" s="444" t="n"/>
      <c r="I46" s="444" t="n"/>
      <c r="J46" s="444" t="n"/>
      <c r="K46" s="444" t="n"/>
      <c r="L46" s="444" t="n"/>
      <c r="M46" s="444" t="n"/>
      <c r="N46" s="444" t="n"/>
      <c r="O46" s="444" t="n"/>
      <c r="P46" s="458" t="n"/>
      <c r="Q46" s="459" t="n"/>
      <c r="R46" s="274">
        <f>IF(B46="","",VLOOKUP(B46,PARAMETROS!$A$2:$F$806,2,FALSE))</f>
        <v/>
      </c>
      <c r="S46" s="453">
        <f>IF(B46="","",VLOOKUP(B46,PARAMETROS!$A$2:$F$806,3,FALSE))</f>
        <v/>
      </c>
      <c r="T46" s="454" t="n"/>
      <c r="U46" s="455" t="n"/>
      <c r="V46" s="148">
        <f>IF(B46="","",VLOOKUP(B46,PARAMETROS!$A$2:$F$806,5,FALSE))</f>
        <v/>
      </c>
      <c r="W46" s="149">
        <f>IF(B46="","",VLOOKUP(B46,PARAMETROS!$A$2:$F$806,4,FALSE))</f>
        <v/>
      </c>
      <c r="X46" s="149" t="n"/>
      <c r="Y46" s="149" t="n"/>
      <c r="Z46" s="312">
        <f>IFERROR(IF(B46="","",VLOOKUP(B46,PARAMETROS!$A$2:$F$806,6,FALSE))*IF(P46&lt;=20,1,IF(P46&lt;=40,2,IF(P46&lt;=60,3,4))),"")</f>
        <v/>
      </c>
      <c r="AA46" s="460" t="n"/>
      <c r="AB46" s="295">
        <f>IF(B46="","",VLOOKUP(B46,PARAMETROS!$A$2:$G$806,7,FALSE))</f>
        <v/>
      </c>
      <c r="AC46" s="461" t="n"/>
      <c r="AD46" s="460" t="n"/>
    </row>
    <row r="47" ht="18.75" customFormat="1" customHeight="1" s="66">
      <c r="A47" s="146">
        <f>IF(B47&lt;&gt;"",ROW(H28),"")</f>
        <v/>
      </c>
      <c r="B47" s="272" t="n"/>
      <c r="C47" s="444" t="n"/>
      <c r="D47" s="444" t="n"/>
      <c r="E47" s="444" t="n"/>
      <c r="F47" s="444" t="n"/>
      <c r="G47" s="444" t="n"/>
      <c r="H47" s="444" t="n"/>
      <c r="I47" s="444" t="n"/>
      <c r="J47" s="444" t="n"/>
      <c r="K47" s="444" t="n"/>
      <c r="L47" s="444" t="n"/>
      <c r="M47" s="444" t="n"/>
      <c r="N47" s="444" t="n"/>
      <c r="O47" s="444" t="n"/>
      <c r="P47" s="458" t="n"/>
      <c r="Q47" s="459" t="n"/>
      <c r="R47" s="274">
        <f>IF(B47="","",VLOOKUP(B47,PARAMETROS!$A$2:$F$806,2,FALSE))</f>
        <v/>
      </c>
      <c r="S47" s="453">
        <f>IF(B47="","",VLOOKUP(B47,PARAMETROS!$A$2:$F$806,3,FALSE))</f>
        <v/>
      </c>
      <c r="T47" s="454" t="n"/>
      <c r="U47" s="455" t="n"/>
      <c r="V47" s="148">
        <f>IF(B47="","",VLOOKUP(B47,PARAMETROS!$A$2:$F$806,5,FALSE))</f>
        <v/>
      </c>
      <c r="W47" s="149">
        <f>IF(B47="","",VLOOKUP(B47,PARAMETROS!$A$2:$F$806,4,FALSE))</f>
        <v/>
      </c>
      <c r="X47" s="149" t="n"/>
      <c r="Y47" s="149" t="n"/>
      <c r="Z47" s="432">
        <f>IFERROR(IF(B47="","",VLOOKUP(B47,PARAMETROS!$A$2:$F$806,6,FALSE))*IF(P47&lt;=20,1,IF(P47&lt;=40,2,IF(P47&lt;=60,3,4))),"")</f>
        <v/>
      </c>
      <c r="AA47" s="462" t="n"/>
      <c r="AB47" s="314">
        <f>IF(B47="","",VLOOKUP(B47,PARAMETROS!$A$2:$G$806,7,FALSE))</f>
        <v/>
      </c>
      <c r="AC47" s="463" t="n"/>
      <c r="AD47" s="462" t="n"/>
    </row>
    <row r="48" ht="16.5" customFormat="1" customHeight="1" s="66">
      <c r="A48" s="307" t="inlineStr">
        <is>
          <t>OBSERVACIONES</t>
        </is>
      </c>
      <c r="B48" s="121" t="n"/>
      <c r="C48" s="121" t="n"/>
      <c r="D48" s="121" t="n"/>
      <c r="E48" s="121" t="n"/>
      <c r="F48" s="121" t="n"/>
      <c r="G48" s="121" t="n"/>
      <c r="H48" s="121" t="n"/>
      <c r="I48" s="121" t="n"/>
      <c r="J48" s="121" t="n"/>
      <c r="K48" s="121" t="n"/>
      <c r="L48" s="121" t="n"/>
      <c r="M48" s="121" t="n"/>
      <c r="N48" s="121" t="n"/>
      <c r="O48" s="121" t="n"/>
      <c r="P48" s="121" t="n"/>
      <c r="Q48" s="121" t="n"/>
      <c r="R48" s="121" t="n"/>
      <c r="S48" s="121" t="n"/>
      <c r="T48" s="121" t="n"/>
      <c r="U48" s="121" t="n"/>
      <c r="V48" s="121" t="n"/>
      <c r="W48" s="121" t="n"/>
      <c r="X48" s="121" t="n"/>
      <c r="Y48" s="121" t="n"/>
      <c r="Z48" s="121" t="n"/>
      <c r="AA48" s="121" t="n"/>
      <c r="AB48" s="121" t="n"/>
      <c r="AC48" s="121" t="n"/>
      <c r="AD48" s="129" t="n"/>
    </row>
    <row r="49" ht="15" customFormat="1" customHeight="1" s="60">
      <c r="A49" s="464" t="inlineStr">
        <is>
          <t>Llegar 9am</t>
        </is>
      </c>
      <c r="B49" s="449" t="n"/>
      <c r="C49" s="449" t="n"/>
      <c r="D49" s="449" t="n"/>
      <c r="E49" s="449" t="n"/>
      <c r="F49" s="449" t="n"/>
      <c r="G49" s="449" t="n"/>
      <c r="H49" s="449" t="n"/>
      <c r="I49" s="449" t="n"/>
      <c r="J49" s="449" t="n"/>
      <c r="K49" s="449" t="n"/>
      <c r="L49" s="449" t="n"/>
      <c r="M49" s="449" t="n"/>
      <c r="N49" s="449" t="n"/>
      <c r="O49" s="449" t="n"/>
      <c r="P49" s="449" t="n"/>
      <c r="Q49" s="449" t="n"/>
      <c r="R49" s="449" t="n"/>
      <c r="S49" s="449" t="n"/>
      <c r="T49" s="449" t="n"/>
      <c r="U49" s="449" t="n"/>
      <c r="V49" s="449" t="n"/>
      <c r="W49" s="449" t="n"/>
      <c r="X49" s="449" t="n"/>
      <c r="Y49" s="449" t="n"/>
      <c r="Z49" s="449" t="n"/>
      <c r="AA49" s="449" t="n"/>
      <c r="AB49" s="449" t="n"/>
      <c r="AC49" s="449" t="n"/>
      <c r="AD49" s="465" t="n"/>
    </row>
    <row r="50" ht="79.5" customFormat="1" customHeight="1" s="60">
      <c r="A50" s="443" t="n"/>
      <c r="B50" s="443" t="n"/>
      <c r="C50" s="443" t="n"/>
      <c r="D50" s="443" t="n"/>
      <c r="E50" s="443" t="n"/>
      <c r="F50" s="443" t="n"/>
      <c r="G50" s="443" t="n"/>
      <c r="H50" s="443" t="n"/>
      <c r="I50" s="443" t="n"/>
      <c r="J50" s="443" t="n"/>
      <c r="K50" s="443" t="n"/>
      <c r="L50" s="443" t="n"/>
      <c r="M50" s="443" t="n"/>
      <c r="N50" s="443" t="n"/>
      <c r="O50" s="443" t="n"/>
      <c r="P50" s="443" t="n"/>
      <c r="Q50" s="443" t="n"/>
      <c r="R50" s="443" t="n"/>
      <c r="S50" s="443" t="n"/>
      <c r="T50" s="443" t="n"/>
      <c r="U50" s="443" t="n"/>
      <c r="V50" s="443" t="n"/>
      <c r="W50" s="443" t="n"/>
      <c r="X50" s="443" t="n"/>
      <c r="Y50" s="443" t="n"/>
      <c r="Z50" s="443" t="n"/>
      <c r="AA50" s="443" t="n"/>
      <c r="AB50" s="443" t="n"/>
      <c r="AC50" s="443" t="n"/>
      <c r="AD50" s="466" t="n"/>
    </row>
    <row r="51" ht="14.5" customFormat="1" customHeight="1" s="60">
      <c r="A51" s="467" t="n"/>
      <c r="B51" s="467" t="n"/>
      <c r="C51" s="467" t="n"/>
      <c r="D51" s="467" t="n"/>
      <c r="E51" s="467" t="n"/>
      <c r="F51" s="467" t="n"/>
      <c r="G51" s="467" t="n"/>
      <c r="H51" s="467" t="n"/>
      <c r="I51" s="467" t="n"/>
      <c r="J51" s="467" t="n"/>
      <c r="K51" s="467" t="n"/>
      <c r="L51" s="467" t="n"/>
      <c r="M51" s="467" t="n"/>
      <c r="N51" s="467" t="n"/>
      <c r="O51" s="467" t="n"/>
      <c r="P51" s="467" t="n"/>
      <c r="Q51" s="467" t="n"/>
      <c r="R51" s="467" t="n"/>
      <c r="S51" s="467" t="n"/>
      <c r="T51" s="467" t="n"/>
      <c r="U51" s="467" t="n"/>
      <c r="V51" s="467" t="n"/>
      <c r="W51" s="467" t="n"/>
      <c r="X51" s="467" t="n"/>
      <c r="Y51" s="467" t="n"/>
      <c r="Z51" s="467" t="n"/>
      <c r="AA51" s="467" t="n"/>
      <c r="AB51" s="467" t="n"/>
      <c r="AC51" s="467" t="n"/>
      <c r="AD51" s="468" t="n"/>
    </row>
    <row r="52" ht="17.25" customFormat="1" customHeight="1" s="60">
      <c r="A52" s="469" t="inlineStr">
        <is>
          <t>3. DESCRIPCIÓN DE MATERIALES, PRESERVANTES Y EQUIPOS A EMPLEAR</t>
        </is>
      </c>
      <c r="B52" s="121" t="n"/>
      <c r="C52" s="121" t="n"/>
      <c r="D52" s="121" t="n"/>
      <c r="E52" s="121" t="n"/>
      <c r="F52" s="121" t="n"/>
      <c r="G52" s="121" t="n"/>
      <c r="H52" s="121" t="n"/>
      <c r="I52" s="121" t="n"/>
      <c r="J52" s="121" t="n"/>
      <c r="K52" s="121" t="n"/>
      <c r="L52" s="121" t="n"/>
      <c r="M52" s="121" t="n"/>
      <c r="N52" s="121" t="n"/>
      <c r="O52" s="121" t="n"/>
      <c r="P52" s="121" t="n"/>
      <c r="Q52" s="121" t="n"/>
      <c r="R52" s="121" t="n"/>
      <c r="S52" s="121" t="n"/>
      <c r="T52" s="121" t="n"/>
      <c r="U52" s="121" t="n"/>
      <c r="V52" s="121" t="n"/>
      <c r="W52" s="121" t="n"/>
      <c r="X52" s="121" t="n"/>
      <c r="Y52" s="121" t="n"/>
      <c r="Z52" s="121" t="n"/>
      <c r="AA52" s="121" t="n"/>
      <c r="AB52" s="121" t="n"/>
      <c r="AC52" s="121" t="n"/>
      <c r="AD52" s="446" t="n"/>
    </row>
    <row r="53" ht="2.25" customHeight="1">
      <c r="A53" s="68" t="n"/>
      <c r="B53" s="69" t="n"/>
      <c r="C53" s="69" t="n"/>
      <c r="D53" s="69" t="n"/>
      <c r="E53" s="69" t="n"/>
      <c r="F53" s="342" t="n"/>
      <c r="G53" s="342" t="n"/>
      <c r="H53" s="342" t="n"/>
      <c r="I53" s="60" t="n"/>
      <c r="J53" s="60" t="n"/>
      <c r="K53" s="60" t="n"/>
      <c r="L53" s="60" t="n"/>
      <c r="M53" s="60" t="n"/>
      <c r="N53" s="60" t="n"/>
      <c r="O53" s="60" t="n"/>
      <c r="P53" s="60" t="n"/>
      <c r="Q53" s="60" t="n"/>
      <c r="R53" s="60" t="n"/>
      <c r="S53" s="60" t="n"/>
      <c r="T53" s="60" t="n"/>
      <c r="U53" s="60" t="n"/>
      <c r="V53" s="60" t="n"/>
      <c r="W53" s="60" t="n"/>
      <c r="X53" s="60" t="n"/>
      <c r="Y53" s="60" t="n"/>
      <c r="Z53" s="60" t="n"/>
      <c r="AA53" s="60" t="n"/>
      <c r="AB53" s="60" t="n"/>
      <c r="AC53" s="60" t="n"/>
      <c r="AD53" s="60" t="n"/>
    </row>
    <row r="54" ht="34.5" customFormat="1" customHeight="1" s="55">
      <c r="A54" s="470" t="inlineStr">
        <is>
          <t xml:space="preserve">FRASCOS </t>
        </is>
      </c>
      <c r="B54" s="121" t="n"/>
      <c r="C54" s="121" t="n"/>
      <c r="D54" s="121" t="n"/>
      <c r="E54" s="121" t="n"/>
      <c r="F54" s="121" t="n"/>
      <c r="G54" s="121" t="n"/>
      <c r="H54" s="121" t="n"/>
      <c r="I54" s="446" t="n"/>
      <c r="J54" s="25" t="n"/>
      <c r="K54" s="470" t="inlineStr">
        <is>
          <t>PRESERVACIÓN</t>
        </is>
      </c>
      <c r="L54" s="121" t="n"/>
      <c r="M54" s="121" t="n"/>
      <c r="N54" s="121" t="n"/>
      <c r="O54" s="121" t="n"/>
      <c r="P54" s="121" t="n"/>
      <c r="Q54" s="121" t="n"/>
      <c r="R54" s="446" t="n"/>
      <c r="S54" s="71" t="n"/>
      <c r="T54" s="471" t="inlineStr">
        <is>
          <t>MATERIAL AIRE</t>
        </is>
      </c>
      <c r="U54" s="204" t="n"/>
      <c r="V54" s="204" t="n"/>
      <c r="W54" s="204" t="n"/>
      <c r="X54" s="204" t="n"/>
      <c r="Y54" s="450" t="n"/>
      <c r="Z54" s="25" t="n"/>
      <c r="AA54" s="470" t="inlineStr">
        <is>
          <t>MATERIALES Y EQUIPOS</t>
        </is>
      </c>
      <c r="AB54" s="121" t="n"/>
      <c r="AC54" s="121" t="n"/>
      <c r="AD54" s="446" t="n"/>
    </row>
    <row r="55" ht="18" customFormat="1" customHeight="1" s="30">
      <c r="A55" s="150" t="inlineStr">
        <is>
          <t>DESCRIPCIÓN</t>
        </is>
      </c>
      <c r="B55" s="44" t="n"/>
      <c r="C55" s="44" t="n"/>
      <c r="D55" s="472" t="inlineStr">
        <is>
          <t>Vol.</t>
        </is>
      </c>
      <c r="E55" s="446" t="n"/>
      <c r="F55" s="298" t="inlineStr">
        <is>
          <t>Und.</t>
        </is>
      </c>
      <c r="G55" s="126" t="n"/>
      <c r="H55" s="300" t="inlineStr">
        <is>
          <t>Total</t>
        </is>
      </c>
      <c r="I55" s="473" t="n"/>
      <c r="J55" s="54" t="n"/>
      <c r="K55" s="472" t="inlineStr">
        <is>
          <t>PRESERVANTES</t>
        </is>
      </c>
      <c r="L55" s="121" t="n"/>
      <c r="M55" s="121" t="n"/>
      <c r="N55" s="121" t="n"/>
      <c r="O55" s="121" t="n"/>
      <c r="P55" s="446" t="n"/>
      <c r="Q55" s="474" t="inlineStr">
        <is>
          <t>Requeridos</t>
        </is>
      </c>
      <c r="R55" s="446" t="n"/>
      <c r="S55" s="55" t="n"/>
      <c r="T55" s="162" t="inlineStr">
        <is>
          <t>DESCRIPCIÓN</t>
        </is>
      </c>
      <c r="U55" s="51" t="n"/>
      <c r="V55" s="52" t="n"/>
      <c r="W55" s="53" t="inlineStr">
        <is>
          <t>Vol.</t>
        </is>
      </c>
      <c r="X55" s="72" t="inlineStr">
        <is>
          <t xml:space="preserve">Und. </t>
        </is>
      </c>
      <c r="Y55" s="163" t="inlineStr">
        <is>
          <t>Total</t>
        </is>
      </c>
      <c r="Z55" s="55" t="n"/>
      <c r="AA55" s="150" t="inlineStr">
        <is>
          <t>DESCRIPCIÓN</t>
        </is>
      </c>
      <c r="AB55" s="56" t="n"/>
      <c r="AC55" s="472" t="inlineStr">
        <is>
          <t>Requeridos</t>
        </is>
      </c>
      <c r="AD55" s="446" t="n"/>
    </row>
    <row r="56" ht="18" customFormat="1" customHeight="1" s="30">
      <c r="A56" s="151" t="inlineStr">
        <is>
          <t>Plástico (P)</t>
        </is>
      </c>
      <c r="B56" s="100" t="n"/>
      <c r="C56" s="100" t="n"/>
      <c r="D56" s="475" t="inlineStr">
        <is>
          <t>1 Lt</t>
        </is>
      </c>
      <c r="E56" s="476" t="n"/>
      <c r="F56" s="477">
        <f>SUMIFS($P$17:$P$47,$R$17:$R$47,"P",$S$17:$S$47,"1 Lt")</f>
        <v/>
      </c>
      <c r="G56" s="476" t="n"/>
      <c r="H56" s="478">
        <f>SUMIFS(Z17:Z47,R17:R47,"P",S17:S47,"1 Lt")+F56+COUNTIFS(R77:R81,"P",V77:V81,"1 Lt")</f>
        <v/>
      </c>
      <c r="I56" s="476" t="n"/>
      <c r="J56" s="25" t="n"/>
      <c r="K56" s="154" t="inlineStr">
        <is>
          <t>HNO3 (Acido Nítrico) 1:1</t>
        </is>
      </c>
      <c r="L56" s="23" t="n"/>
      <c r="M56" s="23" t="n"/>
      <c r="N56" s="23" t="n"/>
      <c r="O56" s="23" t="n"/>
      <c r="P56" s="23" t="n"/>
      <c r="Q56" s="107">
        <f>IFERROR(VLOOKUP("HNO3 1:1",W17:W47,1,FALSE),"")</f>
        <v/>
      </c>
      <c r="R56" s="155" t="n"/>
      <c r="T56" s="164" t="inlineStr">
        <is>
          <t>Plastico Ámbar</t>
        </is>
      </c>
      <c r="U56" s="31" t="n"/>
      <c r="V56" s="32" t="n"/>
      <c r="W56" s="33" t="inlineStr">
        <is>
          <t>120 ml</t>
        </is>
      </c>
      <c r="X56" s="101">
        <f>COUNTIFS($R$17:$R$47,"P.A",$S$17:$S$47,"120 mL")</f>
        <v/>
      </c>
      <c r="Y56" s="165">
        <f>IFERROR(IF(P17="0","-",$P$17*X56),"")</f>
        <v/>
      </c>
      <c r="Z56" s="28" t="n"/>
      <c r="AA56" s="180" t="inlineStr">
        <is>
          <t>Cadena de Custodia</t>
        </is>
      </c>
      <c r="AB56" s="26" t="n"/>
      <c r="AC56" s="479" t="inlineStr">
        <is>
          <t>X</t>
        </is>
      </c>
      <c r="AD56" s="452" t="n"/>
    </row>
    <row r="57" ht="18" customFormat="1" customHeight="1" s="73">
      <c r="A57" s="152" t="inlineStr">
        <is>
          <t>Plástico (P)</t>
        </is>
      </c>
      <c r="B57" s="114" t="n"/>
      <c r="C57" s="114" t="n"/>
      <c r="D57" s="102" t="inlineStr">
        <is>
          <t>500  mL</t>
        </is>
      </c>
      <c r="E57" s="480" t="n"/>
      <c r="F57" s="481">
        <f>SUMIFS($P$17:$P$47,$R$17:$R$47,"P",$S$17:$S$47,"500 mL")</f>
        <v/>
      </c>
      <c r="G57" s="480" t="n"/>
      <c r="H57" s="482">
        <f>SUMIFS(Z17:Z47,R17:R47,"P",S17:S47,"500 mL")+F57+COUNTIFS(R77:R81,"P",V77:V81,"500 mL")</f>
        <v/>
      </c>
      <c r="I57" s="480" t="n"/>
      <c r="J57" s="25" t="n"/>
      <c r="K57" s="156" t="inlineStr">
        <is>
          <t xml:space="preserve">H2SO4 (Acido Sulfúrico) 1:1 </t>
        </is>
      </c>
      <c r="L57" s="21" t="n"/>
      <c r="M57" s="21" t="n"/>
      <c r="N57" s="21" t="n"/>
      <c r="O57" s="21" t="n"/>
      <c r="P57" s="22" t="n"/>
      <c r="Q57" s="225">
        <f>IFERROR(VLOOKUP("H2SO4 1:1",W17:W47,1,FALSE),"")</f>
        <v/>
      </c>
      <c r="R57" s="157" t="n"/>
      <c r="S57" s="30" t="n"/>
      <c r="T57" s="166" t="inlineStr">
        <is>
          <t>Filtro PM-10 (H)</t>
        </is>
      </c>
      <c r="U57" s="34" t="n"/>
      <c r="V57" s="35" t="n"/>
      <c r="W57" s="36" t="inlineStr">
        <is>
          <t>-</t>
        </is>
      </c>
      <c r="X57" s="102">
        <f>COUNTIFS($R$17:$R$47,"F",$S$17:$S$47,"PM-10-H")</f>
        <v/>
      </c>
      <c r="Y57" s="167">
        <f>IFERROR(IF(P17="0","-",$P$17*X57),"")</f>
        <v/>
      </c>
      <c r="Z57" s="28" t="n"/>
      <c r="AA57" s="181" t="inlineStr">
        <is>
          <t>Ice Pack / Gel Pack</t>
        </is>
      </c>
      <c r="AB57" s="27" t="n"/>
      <c r="AC57" s="483" t="inlineStr">
        <is>
          <t>X</t>
        </is>
      </c>
      <c r="AD57" s="459" t="n"/>
    </row>
    <row r="58" ht="18" customFormat="1" customHeight="1" s="73">
      <c r="A58" s="153" t="inlineStr">
        <is>
          <t>Plástico (P)</t>
        </is>
      </c>
      <c r="B58" s="115" t="n"/>
      <c r="C58" s="115" t="n"/>
      <c r="D58" s="484" t="inlineStr">
        <is>
          <t>250  mL</t>
        </is>
      </c>
      <c r="E58" s="480" t="n"/>
      <c r="F58" s="481">
        <f>SUMIFS($P$17:$P$47,$R$17:$R$47,"P",$S$17:$S$47,"250 mL")</f>
        <v/>
      </c>
      <c r="G58" s="480" t="n"/>
      <c r="H58" s="482">
        <f>SUMIFS(Z17:Z47,R17:R47,"P",S17:S47,"250 mL")+F58+COUNTIFS(R77:R81,"P",V77:V81,"250 mL")</f>
        <v/>
      </c>
      <c r="I58" s="480" t="n"/>
      <c r="J58" s="25" t="n"/>
      <c r="K58" s="24" t="inlineStr">
        <is>
          <t xml:space="preserve">NaOH (Hidróxido de Sodio) 1:1 </t>
        </is>
      </c>
      <c r="L58" s="24" t="n"/>
      <c r="M58" s="24" t="n"/>
      <c r="N58" s="24" t="n"/>
      <c r="O58" s="156" t="n"/>
      <c r="P58" s="22" t="n"/>
      <c r="Q58" s="225">
        <f>IFERROR(VLOOKUP("NaOH 1:1",W17:W47,1,FALSE),"")</f>
        <v/>
      </c>
      <c r="R58" s="157" t="n"/>
      <c r="T58" s="166" t="inlineStr">
        <is>
          <t>Filtro PM-2.5 (H)</t>
        </is>
      </c>
      <c r="U58" s="34" t="n"/>
      <c r="V58" s="35" t="n"/>
      <c r="W58" s="36" t="inlineStr">
        <is>
          <t>-</t>
        </is>
      </c>
      <c r="X58" s="102">
        <f>COUNTIFS($R$17:$R$47,"F",$S$17:$S$47,"PM-2.5-H")</f>
        <v/>
      </c>
      <c r="Y58" s="167">
        <f>IFERROR(IF(P18="0","-",$P$17*X58),"")</f>
        <v/>
      </c>
      <c r="Z58" s="28" t="n"/>
      <c r="AA58" s="181" t="inlineStr">
        <is>
          <t>Coolers</t>
        </is>
      </c>
      <c r="AB58" s="27" t="n"/>
      <c r="AC58" s="483" t="inlineStr">
        <is>
          <t>X</t>
        </is>
      </c>
      <c r="AD58" s="459" t="n"/>
    </row>
    <row r="59" ht="18" customFormat="1" customHeight="1" s="73">
      <c r="A59" s="152" t="inlineStr">
        <is>
          <t>Plástico (P)</t>
        </is>
      </c>
      <c r="B59" s="114" t="n"/>
      <c r="C59" s="114" t="n"/>
      <c r="D59" s="102" t="inlineStr">
        <is>
          <t>120  mL</t>
        </is>
      </c>
      <c r="E59" s="480" t="n"/>
      <c r="F59" s="481">
        <f>SUMIFS($P$17:$P$47,$R$17:$R$47,"P",$S$17:$S$47,"120 mL")</f>
        <v/>
      </c>
      <c r="G59" s="480" t="n"/>
      <c r="H59" s="482">
        <f>SUMIFS(Z17:Z47,R17:R47,"P",S17:S47,"120 mL")+F59+COUNTIFS(R77:R81,"P",V77:V81,"120 mL")</f>
        <v/>
      </c>
      <c r="I59" s="480" t="n"/>
      <c r="J59" s="25" t="n"/>
      <c r="K59" s="24" t="inlineStr">
        <is>
          <t xml:space="preserve">NaOH 5N (Hidróxido de Sodio) </t>
        </is>
      </c>
      <c r="L59" s="24" t="n"/>
      <c r="M59" s="24" t="n"/>
      <c r="N59" s="24" t="n"/>
      <c r="O59" s="156" t="n"/>
      <c r="P59" s="22" t="n"/>
      <c r="Q59" s="226">
        <f>IFERROR(IF((VLOOKUP("NaOH 6N + Acetato de Zn",W17:W47,1,FALSE))="NaOH 6N + Acetato de Zn","NaOH 5N",""),"")</f>
        <v/>
      </c>
      <c r="R59" s="157" t="n"/>
      <c r="T59" s="166" t="inlineStr">
        <is>
          <t>Filtro PM-10 (L)</t>
        </is>
      </c>
      <c r="U59" s="34" t="n"/>
      <c r="V59" s="35" t="n"/>
      <c r="W59" s="36" t="inlineStr">
        <is>
          <t>-</t>
        </is>
      </c>
      <c r="X59" s="102">
        <f>COUNTIFS($R$17:$R$47,"F",$S$17:$S$47,"PM-10-L")</f>
        <v/>
      </c>
      <c r="Y59" s="167">
        <f>IFERROR(IF(P19="0","-",$P$17*X59),"")</f>
        <v/>
      </c>
      <c r="Z59" s="28" t="n"/>
      <c r="AA59" s="181" t="inlineStr">
        <is>
          <t>Etiquetas</t>
        </is>
      </c>
      <c r="AB59" s="27" t="n"/>
      <c r="AC59" s="483" t="inlineStr">
        <is>
          <t>X</t>
        </is>
      </c>
      <c r="AD59" s="459" t="n"/>
    </row>
    <row r="60" ht="18" customFormat="1" customHeight="1" s="73">
      <c r="A60" s="153" t="inlineStr">
        <is>
          <t>Plástico Ambar (P.A)</t>
        </is>
      </c>
      <c r="B60" s="115" t="n"/>
      <c r="C60" s="115" t="n"/>
      <c r="D60" s="484" t="inlineStr">
        <is>
          <t>1 Lt</t>
        </is>
      </c>
      <c r="E60" s="480" t="n"/>
      <c r="F60" s="481">
        <f>SUMIFS($P$17:$P$47,$R$17:$R$47,"P.A",$S$17:$S$47,"1 Lt")</f>
        <v/>
      </c>
      <c r="G60" s="480" t="n"/>
      <c r="H60" s="482">
        <f>SUMIFS(Z17:Z47,R17:R47,"P.A",S17:S47,"1 Lt")+F60+COUNTIFS(R77:R81,"P.A",V77:V81,"1 Lt")</f>
        <v/>
      </c>
      <c r="I60" s="480" t="n"/>
      <c r="J60" s="25" t="n"/>
      <c r="K60" s="24" t="inlineStr">
        <is>
          <t xml:space="preserve">NaOH 6N (Hidróxido de Sodio) </t>
        </is>
      </c>
      <c r="L60" s="24" t="n"/>
      <c r="M60" s="24" t="n"/>
      <c r="N60" s="24" t="n"/>
      <c r="O60" s="156" t="n"/>
      <c r="P60" s="22" t="n"/>
      <c r="Q60" s="198">
        <f>IFERROR(IF((VLOOKUP("NaOH 6N + Acetato de Zn",W17:W47,1,FALSE))="NaOH 6N + Acetato de Zn","NaOH 6N",""),"")</f>
        <v/>
      </c>
      <c r="R60" s="157" t="n"/>
      <c r="T60" s="166" t="inlineStr">
        <is>
          <t>Filtro PM-2.5(L)</t>
        </is>
      </c>
      <c r="U60" s="34" t="n"/>
      <c r="V60" s="35" t="n"/>
      <c r="W60" s="36" t="inlineStr">
        <is>
          <t>-</t>
        </is>
      </c>
      <c r="X60" s="102">
        <f>COUNTIFS($R$17:$R$47,"F",$S$17:$S$47,"PM-2.5-L")</f>
        <v/>
      </c>
      <c r="Y60" s="167">
        <f>IFERROR(IF(P20="0","-",$P$17*X60),"")</f>
        <v/>
      </c>
      <c r="Z60" s="28" t="n"/>
      <c r="AA60" s="181" t="inlineStr">
        <is>
          <t>Papel Tissue</t>
        </is>
      </c>
      <c r="AB60" s="27" t="n"/>
      <c r="AC60" s="483" t="n"/>
      <c r="AD60" s="459" t="n"/>
    </row>
    <row r="61" ht="18" customFormat="1" customHeight="1" s="73">
      <c r="A61" s="153" t="inlineStr">
        <is>
          <t>Plástico Ambar (P.A)</t>
        </is>
      </c>
      <c r="B61" s="115" t="n"/>
      <c r="C61" s="115" t="n"/>
      <c r="D61" s="484" t="inlineStr">
        <is>
          <t>500 mL</t>
        </is>
      </c>
      <c r="E61" s="480" t="n"/>
      <c r="F61" s="481">
        <f>SUMIFS($P$17:$P$47,$R$17:$R$47,"P.A",$S$17:$S$47,"500 mL")</f>
        <v/>
      </c>
      <c r="G61" s="480" t="n"/>
      <c r="H61" s="482">
        <f>SUMIFS(Z17:Z47,R17:R47,"P.A",S17:S47,"500 mL")+F61+COUNTIFS(R77:R81,"P.A",V77:V81,"500 mL")</f>
        <v/>
      </c>
      <c r="I61" s="480" t="n"/>
      <c r="J61" s="25" t="n"/>
      <c r="K61" s="24" t="inlineStr">
        <is>
          <t xml:space="preserve">Zn(C2H2O2)2 (Acetato de zinc) </t>
        </is>
      </c>
      <c r="L61" s="24" t="n"/>
      <c r="M61" s="24" t="n"/>
      <c r="N61" s="24" t="n"/>
      <c r="O61" s="156" t="n"/>
      <c r="P61" s="22" t="n"/>
      <c r="Q61" s="198">
        <f>IFERROR(IF(Q60="NaOH 6N","Acetato de Zn",""),"")</f>
        <v/>
      </c>
      <c r="R61" s="157" t="n"/>
      <c r="T61" s="166" t="inlineStr">
        <is>
          <t>Sobre de Papel</t>
        </is>
      </c>
      <c r="U61" s="34" t="n"/>
      <c r="V61" s="35" t="n"/>
      <c r="W61" s="36" t="inlineStr">
        <is>
          <t>-</t>
        </is>
      </c>
      <c r="X61" s="102">
        <f>COUNTIFS($R$17:$R$47,"-",$S$17:$S$47,"Sobre")</f>
        <v/>
      </c>
      <c r="Y61" s="167">
        <f>IFERROR(IF(#REF!="0","-",$P$17*X61),"")</f>
        <v/>
      </c>
      <c r="Z61" s="28" t="n"/>
      <c r="AA61" s="181" t="inlineStr">
        <is>
          <t>Baldes</t>
        </is>
      </c>
      <c r="AB61" s="27" t="n"/>
      <c r="AC61" s="483" t="n"/>
      <c r="AD61" s="459" t="n"/>
    </row>
    <row r="62" ht="18" customFormat="1" customHeight="1" s="73">
      <c r="A62" s="153" t="inlineStr">
        <is>
          <t>Frasco vidrio (V.E)</t>
        </is>
      </c>
      <c r="B62" s="115" t="n"/>
      <c r="C62" s="115" t="n"/>
      <c r="D62" s="484" t="inlineStr">
        <is>
          <t>500  mL</t>
        </is>
      </c>
      <c r="E62" s="480" t="n"/>
      <c r="F62" s="481">
        <f>SUMIFS($P$17:$P$47,$R$17:$R$47,"V.E",$S$17:$S$47,"500 mL")</f>
        <v/>
      </c>
      <c r="G62" s="480" t="n"/>
      <c r="H62" s="482">
        <f>SUMIFS(Z17:Z47,R17:R47,"V.E",S17:S47,"500 mL")+F62+COUNTIFS(R77:R81,"V.E",V77:V81,"500 mL")</f>
        <v/>
      </c>
      <c r="I62" s="480" t="n"/>
      <c r="J62" s="25" t="n"/>
      <c r="K62" s="156" t="inlineStr">
        <is>
          <t xml:space="preserve">Buffer Sulfato de Amonio (NH4)2SO4 -Cromo VI </t>
        </is>
      </c>
      <c r="L62" s="21" t="n"/>
      <c r="M62" s="21" t="n"/>
      <c r="N62" s="21" t="n"/>
      <c r="O62" s="21" t="n"/>
      <c r="P62" s="22" t="n"/>
      <c r="Q62" s="261">
        <f>IFERROR(IF(Q59="NaOH 5N","Buffer-Cr VI",""),"")</f>
        <v/>
      </c>
      <c r="R62" s="157" t="n"/>
      <c r="T62" s="166" t="inlineStr">
        <is>
          <t>Casette</t>
        </is>
      </c>
      <c r="U62" s="34" t="n"/>
      <c r="V62" s="34" t="n"/>
      <c r="W62" s="36" t="inlineStr">
        <is>
          <t>-</t>
        </is>
      </c>
      <c r="X62" s="102">
        <f>COUNTIFS($R$17:$R$47,"-",$S$17:$S$47,"Casette")</f>
        <v/>
      </c>
      <c r="Y62" s="167">
        <f>IFERROR(IF(P21="0","-",$P$17*X62),"")</f>
        <v/>
      </c>
      <c r="Z62" s="28" t="n"/>
      <c r="AA62" s="181" t="inlineStr">
        <is>
          <t>Piseta</t>
        </is>
      </c>
      <c r="AB62" s="27" t="n"/>
      <c r="AC62" s="483" t="n"/>
      <c r="AD62" s="459" t="n"/>
    </row>
    <row r="63" ht="18" customFormat="1" customHeight="1" s="73">
      <c r="A63" s="153" t="inlineStr">
        <is>
          <t>Frasco vidrio (V.E)</t>
        </is>
      </c>
      <c r="B63" s="115" t="n"/>
      <c r="C63" s="115" t="n"/>
      <c r="D63" s="484" t="inlineStr">
        <is>
          <t>250  mL</t>
        </is>
      </c>
      <c r="E63" s="480" t="n"/>
      <c r="F63" s="481">
        <f>SUMIFS($P$17:$P$47,$R$17:$R$47,"V.E",$S$17:$S$47,"250 mL")</f>
        <v/>
      </c>
      <c r="G63" s="480" t="n"/>
      <c r="H63" s="482">
        <f>SUMIFS(Z17:Z47,R17:R47,"V.E",S17:S47,"250 mL")+F63+COUNTIFS(R77:R81,"V.E",V77:V81,"250 mL")</f>
        <v/>
      </c>
      <c r="I63" s="480" t="n"/>
      <c r="J63" s="25" t="n"/>
      <c r="K63" s="158" t="inlineStr">
        <is>
          <t>Lugol</t>
        </is>
      </c>
      <c r="L63" s="21" t="n"/>
      <c r="M63" s="21" t="n"/>
      <c r="N63" s="21" t="n"/>
      <c r="O63" s="21" t="n"/>
      <c r="P63" s="22" t="n"/>
      <c r="Q63" s="260">
        <f>IFERROR(VLOOKUP("LUGOL",W17:W47,1,FALSE),"")</f>
        <v/>
      </c>
      <c r="R63" s="157" t="n"/>
      <c r="T63" s="168" t="n"/>
      <c r="U63" s="169" t="n"/>
      <c r="V63" s="170" t="n"/>
      <c r="W63" s="171" t="n"/>
      <c r="X63" s="172">
        <f>COUNTIFS($R$17:$R$47,"F",$S$17:$S$47,"PM-2.5-L")</f>
        <v/>
      </c>
      <c r="Y63" s="173">
        <f>IFERROR(IF(#REF!="0","-",$P$17*X63),"")</f>
        <v/>
      </c>
      <c r="Z63" s="28" t="n"/>
      <c r="AA63" s="180" t="inlineStr">
        <is>
          <t>Multiparámetro</t>
        </is>
      </c>
      <c r="AB63" s="26" t="n"/>
      <c r="AC63" s="483" t="n"/>
      <c r="AD63" s="459" t="n"/>
    </row>
    <row r="64" ht="18" customFormat="1" customHeight="1" s="73">
      <c r="A64" s="152" t="inlineStr">
        <is>
          <t>Vidrio ámbar (V.A)</t>
        </is>
      </c>
      <c r="B64" s="114" t="n"/>
      <c r="C64" s="114" t="n"/>
      <c r="D64" s="102" t="inlineStr">
        <is>
          <t>1 Lt</t>
        </is>
      </c>
      <c r="E64" s="480" t="n"/>
      <c r="F64" s="481">
        <f>SUMIFS($P$17:$P$47,$R$17:$R$47,"V.A",$S$17:$S$47,"1 Lt")</f>
        <v/>
      </c>
      <c r="G64" s="480" t="n"/>
      <c r="H64" s="482">
        <f>SUMIFS(Z17:Z47,R17:R47,"V.A",S17:S47,"1 Lt")+F64+COUNTIFS(R77:R81,"V.A",V77:V81,"1 Lt")</f>
        <v/>
      </c>
      <c r="I64" s="480" t="n"/>
      <c r="J64" s="25" t="n"/>
      <c r="K64" s="158" t="inlineStr">
        <is>
          <t>Tiosulfato (Tio)</t>
        </is>
      </c>
      <c r="L64" s="21" t="n"/>
      <c r="M64" s="21" t="n"/>
      <c r="N64" s="21" t="n"/>
      <c r="O64" s="21" t="n"/>
      <c r="P64" s="22" t="n"/>
      <c r="Q64" s="194">
        <f>IFERROR(VLOOKUP("TIO",W17:W47,1,FALSE),"")</f>
        <v/>
      </c>
      <c r="R64" s="195" t="n"/>
      <c r="T64" s="471" t="inlineStr">
        <is>
          <t>MATERIAL SUELO - SEDIMENTOS</t>
        </is>
      </c>
      <c r="U64" s="204" t="n"/>
      <c r="V64" s="204" t="n"/>
      <c r="W64" s="204" t="n"/>
      <c r="X64" s="204" t="n"/>
      <c r="Y64" s="450" t="n"/>
      <c r="Z64" s="28" t="n"/>
      <c r="AA64" s="181" t="inlineStr">
        <is>
          <t>Colorímetro</t>
        </is>
      </c>
      <c r="AB64" s="27" t="n"/>
      <c r="AC64" s="483" t="n"/>
      <c r="AD64" s="459" t="n"/>
      <c r="AE64" s="29" t="n"/>
      <c r="AF64" s="29" t="n"/>
    </row>
    <row r="65" ht="18" customFormat="1" customHeight="1" s="73">
      <c r="A65" s="152" t="inlineStr">
        <is>
          <t>Vidrio ámbar (V.A)</t>
        </is>
      </c>
      <c r="B65" s="114" t="n"/>
      <c r="C65" s="114" t="n"/>
      <c r="D65" s="102" t="inlineStr">
        <is>
          <t>500  mL</t>
        </is>
      </c>
      <c r="E65" s="480" t="n"/>
      <c r="F65" s="481">
        <f>SUMIFS($P$17:$P$47,$R$17:$R$47,"V.A",$S$17:$S$47,"500 mL")</f>
        <v/>
      </c>
      <c r="G65" s="480" t="n"/>
      <c r="H65" s="482">
        <f>SUMIFS(Z17:Z47,R17:R47,"V.A",S17:S47,"500 mL")+F65+COUNTIFS(R77:R81,"V.A",V77:V81,"500 mL")</f>
        <v/>
      </c>
      <c r="I65" s="480" t="n"/>
      <c r="J65" s="25" t="n"/>
      <c r="K65" s="159" t="n"/>
      <c r="L65" s="49" t="n"/>
      <c r="M65" s="49" t="n"/>
      <c r="N65" s="49" t="n"/>
      <c r="O65" s="49" t="n"/>
      <c r="P65" s="50" t="n"/>
      <c r="Q65" s="196" t="n"/>
      <c r="R65" s="197" t="n"/>
      <c r="T65" s="174" t="inlineStr">
        <is>
          <t>DESCRIPCION</t>
        </is>
      </c>
      <c r="U65" s="51" t="n"/>
      <c r="V65" s="52" t="n"/>
      <c r="W65" s="53" t="inlineStr">
        <is>
          <t>Vol.</t>
        </is>
      </c>
      <c r="X65" s="72" t="inlineStr">
        <is>
          <t xml:space="preserve">Und. </t>
        </is>
      </c>
      <c r="Y65" s="163" t="inlineStr">
        <is>
          <t>Total</t>
        </is>
      </c>
      <c r="Z65" s="28" t="n"/>
      <c r="AA65" s="181" t="inlineStr">
        <is>
          <t>GPS</t>
        </is>
      </c>
      <c r="AB65" s="27" t="n"/>
      <c r="AC65" s="483" t="n"/>
      <c r="AD65" s="459" t="n"/>
      <c r="AE65" s="236" t="n"/>
      <c r="AF65" s="236" t="n"/>
    </row>
    <row r="66" ht="18" customFormat="1" customHeight="1" s="73">
      <c r="A66" s="485" t="inlineStr">
        <is>
          <t>Plástico estéril (P.E)</t>
        </is>
      </c>
      <c r="B66" s="486" t="n"/>
      <c r="C66" s="487" t="n"/>
      <c r="D66" s="488" t="inlineStr">
        <is>
          <t>1 Lt</t>
        </is>
      </c>
      <c r="E66" s="487" t="n"/>
      <c r="F66" s="481">
        <f>SUMIFS($P$17:$P$47,$R$17:$R$47,"P.E",$S$17:$S$47,"1 Lt")</f>
        <v/>
      </c>
      <c r="G66" s="480" t="n"/>
      <c r="H66" s="482">
        <f>SUMIFS(Z17:Z47,R17:R47,"P.E",S17:S47,"1 Lt")+F66+COUNTIFS(R77:R81,"P.E",V77:V81,"1 Lt")</f>
        <v/>
      </c>
      <c r="I66" s="480" t="n"/>
      <c r="J66" s="25" t="n"/>
      <c r="K66" s="160" t="n"/>
      <c r="L66" s="108" t="n"/>
      <c r="M66" s="108" t="n"/>
      <c r="N66" s="108" t="n"/>
      <c r="O66" s="108" t="n"/>
      <c r="P66" s="109" t="n"/>
      <c r="Q66" s="110" t="n"/>
      <c r="R66" s="161" t="n"/>
      <c r="T66" s="164" t="inlineStr">
        <is>
          <t>Vidrio Ámbar</t>
        </is>
      </c>
      <c r="U66" s="31" t="n"/>
      <c r="V66" s="32" t="n"/>
      <c r="W66" s="33" t="inlineStr">
        <is>
          <t>1 Kg</t>
        </is>
      </c>
      <c r="X66" s="145">
        <f>COUNTIFS($R$17:$R$47,"Vidrio Ámbar",$S$17:$S$47,"1 Kg")</f>
        <v/>
      </c>
      <c r="Y66" s="165">
        <f>IFERROR(IF(P17="0","-",$P$17*X66),"")</f>
        <v/>
      </c>
      <c r="Z66" s="74" t="n"/>
      <c r="AA66" s="182" t="inlineStr">
        <is>
          <t>Camara Fotografica</t>
        </is>
      </c>
      <c r="AB66" s="27" t="n"/>
      <c r="AC66" s="483" t="n"/>
      <c r="AD66" s="459" t="n"/>
      <c r="AE66" s="29" t="n"/>
      <c r="AF66" s="29" t="n"/>
    </row>
    <row r="67" ht="18" customFormat="1" customHeight="1" s="73">
      <c r="A67" s="152" t="inlineStr">
        <is>
          <t>Plástico estéril (P.E)</t>
        </is>
      </c>
      <c r="B67" s="114" t="n"/>
      <c r="C67" s="114" t="n"/>
      <c r="D67" s="102" t="inlineStr">
        <is>
          <t>500  mL</t>
        </is>
      </c>
      <c r="E67" s="480" t="n"/>
      <c r="F67" s="481">
        <f>SUMIFS($P$17:$P$47,$R$17:$R$47,"P.E",$S$17:$S$47,"500 mL")</f>
        <v/>
      </c>
      <c r="G67" s="480" t="n"/>
      <c r="H67" s="482">
        <f>SUMIFS(Z17:Z47,R17:R47,"P.E",S17:S47,"500 mL")+F67+COUNTIFS(R77:R81,"P.E",V77:V81,"500 mL")</f>
        <v/>
      </c>
      <c r="I67" s="480" t="n"/>
      <c r="J67" s="25" t="n"/>
      <c r="K67" s="113" t="n"/>
      <c r="L67" s="111" t="n"/>
      <c r="M67" s="111" t="n"/>
      <c r="N67" s="111" t="n"/>
      <c r="O67" s="111" t="n"/>
      <c r="P67" s="112" t="n"/>
      <c r="Q67" s="110" t="n"/>
      <c r="R67" s="161" t="n"/>
      <c r="T67" s="166" t="inlineStr">
        <is>
          <t>Pote</t>
        </is>
      </c>
      <c r="U67" s="34" t="n"/>
      <c r="V67" s="35" t="n"/>
      <c r="W67" s="36" t="inlineStr">
        <is>
          <t>1 Kg</t>
        </is>
      </c>
      <c r="X67" s="102">
        <f>COUNTIFS($R$17:$R$47,"Pote",$S$17:$S$47,"1 Kg")</f>
        <v/>
      </c>
      <c r="Y67" s="175">
        <f>IFERROR(IF(P17="0","-",$P$17*X67),"")</f>
        <v/>
      </c>
      <c r="Z67" s="74" t="n"/>
      <c r="AA67" s="181" t="inlineStr">
        <is>
          <t>Brazo muestreador</t>
        </is>
      </c>
      <c r="AB67" s="27" t="n"/>
      <c r="AC67" s="483" t="n"/>
      <c r="AD67" s="459" t="n"/>
      <c r="AE67" s="30" t="n"/>
      <c r="AF67" s="30" t="n"/>
    </row>
    <row r="68" ht="18" customFormat="1" customHeight="1" s="73">
      <c r="A68" s="231" t="inlineStr">
        <is>
          <t>Plástico estéril (P.E)</t>
        </is>
      </c>
      <c r="B68" s="232" t="n"/>
      <c r="C68" s="232" t="n"/>
      <c r="D68" s="102" t="inlineStr">
        <is>
          <t>120  mL</t>
        </is>
      </c>
      <c r="E68" s="480" t="n"/>
      <c r="F68" s="481">
        <f>SUMIFS($P$17:$P$47,$R$17:$R$47,"P.E",$S$17:$S$47,"120 mL")</f>
        <v/>
      </c>
      <c r="G68" s="480" t="n"/>
      <c r="H68" s="482">
        <f>SUMIFS(Z17:Z47,R17:R47,"P.E",S17:S47,"120 mL")+F68+COUNTIFS(R77:R81,"P.E",V77:V81,"120 mL")</f>
        <v/>
      </c>
      <c r="I68" s="480" t="n"/>
      <c r="J68" s="25" t="n"/>
      <c r="K68" s="113" t="n"/>
      <c r="L68" s="111" t="n"/>
      <c r="M68" s="111" t="n"/>
      <c r="N68" s="111" t="n"/>
      <c r="O68" s="111" t="n"/>
      <c r="P68" s="112" t="n"/>
      <c r="Q68" s="110" t="n"/>
      <c r="R68" s="161" t="n"/>
      <c r="T68" s="166" t="inlineStr">
        <is>
          <t>Bolsa</t>
        </is>
      </c>
      <c r="U68" s="34" t="n"/>
      <c r="V68" s="35" t="n"/>
      <c r="W68" s="36" t="inlineStr">
        <is>
          <t>1 Kg</t>
        </is>
      </c>
      <c r="X68" s="102">
        <f>COUNTIFS($R$17:$R$47,"Bolsa",$S$17:$S$47,"1 Kg")</f>
        <v/>
      </c>
      <c r="Y68" s="175">
        <f>IFERROR(IF(P17="0","-",$P$17*X68),"")</f>
        <v/>
      </c>
      <c r="Z68" s="74" t="n"/>
      <c r="AA68" s="181" t="n"/>
      <c r="AB68" s="27" t="n"/>
      <c r="AC68" s="483" t="n"/>
      <c r="AD68" s="459" t="n"/>
      <c r="AE68" s="30" t="n"/>
      <c r="AF68" s="30" t="n"/>
    </row>
    <row r="69" ht="18" customFormat="1" customHeight="1" s="73">
      <c r="A69" s="229" t="inlineStr">
        <is>
          <t>Galón</t>
        </is>
      </c>
      <c r="B69" s="230" t="n"/>
      <c r="C69" s="230" t="n"/>
      <c r="D69" s="233" t="inlineStr">
        <is>
          <t>5 Lt</t>
        </is>
      </c>
      <c r="E69" s="489" t="n"/>
      <c r="F69" s="490">
        <f>((SUMIFS($P$17:$P$47,$R$17:$R$47,"P",$S$17:$S$47,"10 Lt"))*2)+SUMIFS($P$17:$P$47,$R$17:$R$47,"P",$S$17:$S$47,"4 Lt")+SUMIFS($P$17:$P$47,$R$17:$R$47,"P",$S$17:$S$47,"5 Lt")+IF(VLOOKUP("ORGANISMOS DE VIDA LIBRE (O.V.L)",B17:AD47,25,FALSE)=5,2,IF(VLOOKUP("ORGANISMOS DE VIDA LIBRE (O.V.L)",B17:AD47,25,FALSE)=10,3,IF(VLOOKUP("ORGANISMOS DE VIDA LIBRE (O.V.L)",B17:AD47,25,FALSE)=15,4,5)))</f>
        <v/>
      </c>
      <c r="G69" s="489" t="n"/>
      <c r="H69" s="491">
        <f>F69+(COUNTIF(S17:S47,"4 Lt")*IF(VLOOKUP("HUEVOS Y LARVAS HELMINTOS",B17:AD47,25,FALSE)=4,1,IF(VLOOKUP("HUEVOS Y LARVAS HELMINTOS",B17:AD47,25,FALSE)=8,2,IF(VLOOKUP("HUEVOS Y LARVAS HELMINTOS",B17:AD47,25,FALSE)=12,3,4))))+(COUNTIF(S17:S47,"10 Lt")*IF(VLOOKUP("HUEVOS Y LARVAS HELMINTOS",B17:AD47,25,FALSE)=10,1,IF(VLOOKUP("HUEVOS Y LARVAS HELMINTOS",B17:AD47,25,FALSE)=20,2,IF(VLOOKUP("HUEVOS Y LARVAS HELMINTOS",B17:AD47,25,FALSE)=30,3,4))))</f>
        <v/>
      </c>
      <c r="I69" s="489" t="n"/>
      <c r="J69" s="25" t="n"/>
      <c r="K69" s="186" t="n"/>
      <c r="L69" s="187" t="n"/>
      <c r="M69" s="187" t="n"/>
      <c r="N69" s="187" t="n"/>
      <c r="O69" s="187" t="n"/>
      <c r="P69" s="188" t="n"/>
      <c r="Q69" s="186" t="n"/>
      <c r="R69" s="188" t="n"/>
      <c r="T69" s="176" t="n"/>
      <c r="U69" s="177" t="n"/>
      <c r="V69" s="178" t="n"/>
      <c r="W69" s="179" t="n"/>
      <c r="X69" s="233" t="n"/>
      <c r="Y69" s="234" t="n"/>
      <c r="Z69" s="74" t="n"/>
      <c r="AA69" s="235" t="n"/>
      <c r="AB69" s="183" t="n"/>
      <c r="AC69" s="492" t="n"/>
      <c r="AD69" s="493" t="n"/>
      <c r="AE69" s="30" t="n"/>
      <c r="AF69" s="30" t="n"/>
    </row>
    <row r="70" ht="4.5" customFormat="1" customHeight="1" s="73">
      <c r="A70" s="403" t="n"/>
      <c r="E70" s="403" t="n"/>
      <c r="F70" s="336" t="n"/>
      <c r="H70" s="281" t="n"/>
      <c r="K70" s="76" t="n"/>
      <c r="L70" s="76" t="n"/>
      <c r="M70" s="280" t="n"/>
      <c r="S70" s="281" t="n"/>
      <c r="T70" s="281" t="n"/>
      <c r="U70" s="281" t="n"/>
      <c r="V70" s="76" t="n"/>
      <c r="W70" s="279" t="n"/>
      <c r="Z70" s="278" t="n"/>
    </row>
    <row r="71" ht="20.15" customHeight="1">
      <c r="A71" s="375" t="inlineStr">
        <is>
          <t>INDUMENTARIA Y EQUIPO DE PROTECCION PERSONAL (Indicar)</t>
        </is>
      </c>
      <c r="B71" s="121" t="n"/>
      <c r="C71" s="121" t="n"/>
      <c r="D71" s="121" t="n"/>
      <c r="E71" s="121" t="n"/>
      <c r="F71" s="121" t="n"/>
      <c r="G71" s="121" t="n"/>
      <c r="H71" s="121" t="n"/>
      <c r="I71" s="121" t="n"/>
      <c r="J71" s="121" t="n"/>
      <c r="K71" s="121" t="n"/>
      <c r="L71" s="121" t="n"/>
      <c r="M71" s="121" t="n"/>
      <c r="N71" s="121" t="n"/>
      <c r="O71" s="121" t="n"/>
      <c r="P71" s="121" t="n"/>
      <c r="Q71" s="121" t="n"/>
      <c r="R71" s="121" t="n"/>
      <c r="S71" s="121" t="n"/>
      <c r="T71" s="121" t="n"/>
      <c r="U71" s="121" t="n"/>
      <c r="V71" s="121" t="n"/>
      <c r="W71" s="121" t="n"/>
      <c r="X71" s="121" t="n"/>
      <c r="Y71" s="121" t="n"/>
      <c r="Z71" s="121" t="n"/>
      <c r="AA71" s="121" t="n"/>
      <c r="AB71" s="121" t="n"/>
      <c r="AC71" s="121" t="n"/>
      <c r="AD71" s="446" t="n"/>
    </row>
    <row r="72" ht="20.15" customFormat="1" customHeight="1" s="73">
      <c r="A72" s="37" t="inlineStr">
        <is>
          <t>Mascarilla</t>
        </is>
      </c>
      <c r="B72" s="40" t="n"/>
      <c r="C72" s="103" t="inlineStr">
        <is>
          <t>X</t>
        </is>
      </c>
      <c r="D72" s="39" t="inlineStr">
        <is>
          <t>Toca</t>
        </is>
      </c>
      <c r="E72" s="38" t="n"/>
      <c r="F72" s="103" t="inlineStr">
        <is>
          <t>X</t>
        </is>
      </c>
      <c r="G72" s="452" t="n"/>
      <c r="H72" s="37" t="inlineStr">
        <is>
          <t>Pares de Guantes</t>
        </is>
      </c>
      <c r="I72" s="39" t="n"/>
      <c r="J72" s="39" t="n"/>
      <c r="K72" s="39" t="n"/>
      <c r="L72" s="39" t="n"/>
      <c r="M72" s="38" t="n"/>
      <c r="N72" s="103" t="inlineStr">
        <is>
          <t>X</t>
        </is>
      </c>
      <c r="O72" s="452" t="n"/>
      <c r="P72" s="39" t="inlineStr">
        <is>
          <t>Papel Tissue</t>
        </is>
      </c>
      <c r="Q72" s="78" t="n"/>
      <c r="R72" s="104" t="n"/>
      <c r="S72" s="42" t="inlineStr">
        <is>
          <t>Mandil Descartable</t>
        </is>
      </c>
      <c r="T72" s="41" t="n"/>
      <c r="U72" s="41" t="n"/>
      <c r="V72" s="41" t="n"/>
      <c r="W72" s="43" t="n"/>
      <c r="X72" s="104" t="inlineStr">
        <is>
          <t xml:space="preserve"> </t>
        </is>
      </c>
      <c r="Y72" s="42" t="inlineStr">
        <is>
          <t>Lentes de Seguridad</t>
        </is>
      </c>
      <c r="Z72" s="39" t="n"/>
      <c r="AA72" s="39" t="n"/>
      <c r="AB72" s="38" t="n"/>
      <c r="AC72" s="103" t="n"/>
      <c r="AD72" s="452" t="n"/>
    </row>
    <row r="73" ht="18" customFormat="1" customHeight="1" s="60">
      <c r="A73" s="184" t="inlineStr">
        <is>
          <t>Otros</t>
        </is>
      </c>
      <c r="B73" s="185" t="n"/>
      <c r="C73" s="186" t="n"/>
      <c r="D73" s="187" t="n"/>
      <c r="E73" s="187" t="n"/>
      <c r="F73" s="187" t="n"/>
      <c r="G73" s="187" t="n"/>
      <c r="H73" s="187" t="n"/>
      <c r="I73" s="187" t="n"/>
      <c r="J73" s="187" t="n"/>
      <c r="K73" s="187" t="n"/>
      <c r="L73" s="187" t="n"/>
      <c r="M73" s="187" t="n"/>
      <c r="N73" s="187" t="n"/>
      <c r="O73" s="188" t="n"/>
      <c r="P73" s="189" t="n"/>
      <c r="Q73" s="190" t="n"/>
      <c r="R73" s="190" t="n"/>
      <c r="S73" s="190" t="n"/>
      <c r="T73" s="190" t="n"/>
      <c r="U73" s="190" t="n"/>
      <c r="V73" s="190" t="n"/>
      <c r="W73" s="191" t="n"/>
      <c r="X73" s="189" t="n"/>
      <c r="Y73" s="190" t="n"/>
      <c r="Z73" s="190" t="n"/>
      <c r="AA73" s="190" t="n"/>
      <c r="AB73" s="190" t="n"/>
      <c r="AC73" s="190" t="n"/>
      <c r="AD73" s="191" t="n"/>
    </row>
    <row r="74" ht="4.5" customHeight="1">
      <c r="A74" s="79" t="n"/>
      <c r="B74" s="79" t="n"/>
      <c r="C74" s="79" t="n"/>
      <c r="D74" s="79" t="n"/>
      <c r="E74" s="79" t="n"/>
      <c r="F74" s="80" t="n"/>
      <c r="G74" s="80" t="n"/>
      <c r="H74" s="80" t="n"/>
      <c r="I74" s="80" t="n"/>
      <c r="J74" s="80" t="n"/>
      <c r="K74" s="81" t="n"/>
      <c r="L74" s="81" t="n"/>
      <c r="M74" s="82" t="n"/>
      <c r="N74" s="82" t="n"/>
      <c r="O74" s="82" t="n"/>
      <c r="P74" s="82" t="n"/>
      <c r="Q74" s="82" t="n"/>
      <c r="R74" s="82" t="n"/>
      <c r="S74" s="82" t="n"/>
      <c r="T74" s="82" t="n"/>
      <c r="U74" s="82" t="n"/>
      <c r="V74" s="80" t="n"/>
      <c r="W74" s="60" t="n"/>
      <c r="X74" s="279" t="n"/>
      <c r="Y74" s="279" t="n"/>
      <c r="Z74" s="279" t="n"/>
      <c r="AA74" s="279" t="n"/>
      <c r="AB74" s="279" t="n"/>
      <c r="AC74" s="279" t="n"/>
      <c r="AD74" s="81" t="n"/>
    </row>
    <row r="75" ht="20.15" customHeight="1">
      <c r="A75" s="375" t="inlineStr">
        <is>
          <t>SISTEMA DE CONTROL DE CALIDAD - MUESTREO</t>
        </is>
      </c>
      <c r="B75" s="121" t="n"/>
      <c r="C75" s="121" t="n"/>
      <c r="D75" s="121" t="n"/>
      <c r="E75" s="121" t="n"/>
      <c r="F75" s="121" t="n"/>
      <c r="G75" s="121" t="n"/>
      <c r="H75" s="121" t="n"/>
      <c r="I75" s="121" t="n"/>
      <c r="J75" s="121" t="n"/>
      <c r="K75" s="121" t="n"/>
      <c r="L75" s="121" t="n"/>
      <c r="M75" s="121" t="n"/>
      <c r="N75" s="121" t="n"/>
      <c r="O75" s="121" t="n"/>
      <c r="P75" s="121" t="n"/>
      <c r="Q75" s="121" t="n"/>
      <c r="R75" s="121" t="n"/>
      <c r="S75" s="121" t="n"/>
      <c r="T75" s="121" t="n"/>
      <c r="U75" s="121" t="n"/>
      <c r="V75" s="121" t="n"/>
      <c r="W75" s="121" t="n"/>
      <c r="X75" s="121" t="n"/>
      <c r="Y75" s="121" t="n"/>
      <c r="Z75" s="121" t="n"/>
      <c r="AA75" s="121" t="n"/>
      <c r="AB75" s="121" t="n"/>
      <c r="AC75" s="121" t="n"/>
      <c r="AD75" s="446" t="n"/>
    </row>
    <row r="76" ht="22.5" customHeight="1">
      <c r="A76" s="376" t="inlineStr">
        <is>
          <t>Control de calidad</t>
        </is>
      </c>
      <c r="B76" s="121" t="n"/>
      <c r="C76" s="121" t="n"/>
      <c r="D76" s="121" t="n"/>
      <c r="E76" s="121" t="n"/>
      <c r="F76" s="406" t="inlineStr">
        <is>
          <t xml:space="preserve">Parámetros </t>
        </is>
      </c>
      <c r="G76" s="204" t="n"/>
      <c r="H76" s="204" t="n"/>
      <c r="I76" s="204" t="n"/>
      <c r="J76" s="204" t="n"/>
      <c r="K76" s="204" t="n"/>
      <c r="L76" s="204" t="n"/>
      <c r="M76" s="204" t="n"/>
      <c r="N76" s="204" t="n"/>
      <c r="O76" s="204" t="n"/>
      <c r="P76" s="204" t="n"/>
      <c r="Q76" s="204" t="n"/>
      <c r="R76" s="375" t="inlineStr">
        <is>
          <t>Envase</t>
        </is>
      </c>
      <c r="S76" s="121" t="n"/>
      <c r="T76" s="121" t="n"/>
      <c r="U76" s="446" t="n"/>
      <c r="V76" s="376" t="inlineStr">
        <is>
          <t>Volumen</t>
        </is>
      </c>
      <c r="W76" s="121" t="n"/>
      <c r="X76" s="121" t="n"/>
      <c r="Y76" s="375" t="inlineStr">
        <is>
          <t>Preservación</t>
        </is>
      </c>
      <c r="Z76" s="121" t="n"/>
      <c r="AA76" s="121" t="n"/>
      <c r="AB76" s="121" t="n"/>
      <c r="AC76" s="121" t="n"/>
      <c r="AD76" s="446" t="n"/>
    </row>
    <row r="77" ht="22.5" customFormat="1" customHeight="1" s="222">
      <c r="A77" s="411" t="inlineStr">
        <is>
          <t>Blanco de Campo (BK-C)</t>
        </is>
      </c>
      <c r="B77" s="494" t="n"/>
      <c r="C77" s="494" t="n"/>
      <c r="D77" s="494" t="n"/>
      <c r="E77" s="494" t="n"/>
      <c r="F77" s="495" t="inlineStr">
        <is>
          <t>METALES TOTALES AA* e ICP-OES - DUREZA TOTAL</t>
        </is>
      </c>
      <c r="G77" s="447" t="n"/>
      <c r="H77" s="447" t="n"/>
      <c r="I77" s="447" t="n"/>
      <c r="J77" s="447" t="n"/>
      <c r="K77" s="447" t="n"/>
      <c r="L77" s="447" t="n"/>
      <c r="M77" s="447" t="n"/>
      <c r="N77" s="447" t="n"/>
      <c r="O77" s="447" t="n"/>
      <c r="P77" s="447" t="n"/>
      <c r="Q77" s="452" t="n"/>
      <c r="R77" s="496">
        <f>IF(F77="","",VLOOKUP(F77,PARAMETROS!$A$2:$F$806,2,FALSE))</f>
        <v/>
      </c>
      <c r="S77" s="494" t="n"/>
      <c r="T77" s="494" t="n"/>
      <c r="U77" s="497" t="n"/>
      <c r="V77" s="496">
        <f>IF(F77="","",VLOOKUP(F77,PARAMETROS!$A$2:$F$806,3,FALSE))</f>
        <v/>
      </c>
      <c r="W77" s="494" t="n"/>
      <c r="X77" s="497" t="n"/>
      <c r="Y77" s="415">
        <f>IF(F77="","",VLOOKUP(F77,PARAMETROS!$A$2:$F$806,5,FALSE))</f>
        <v/>
      </c>
      <c r="Z77" s="498" t="n"/>
      <c r="AA77" s="416" t="n"/>
      <c r="AB77" s="416">
        <f>IF(F77="","",VLOOKUP(F77,PARAMETROS!$A$2:$F$806,4,FALSE))</f>
        <v/>
      </c>
      <c r="AC77" s="416" t="n"/>
      <c r="AD77" s="192" t="n"/>
    </row>
    <row r="78" ht="22.5" customHeight="1">
      <c r="A78" s="265" t="inlineStr">
        <is>
          <t>Blanco Viajero (BK-V)</t>
        </is>
      </c>
      <c r="B78" s="498" t="n"/>
      <c r="C78" s="498" t="n"/>
      <c r="D78" s="498" t="n"/>
      <c r="E78" s="498" t="n"/>
      <c r="F78" s="499" t="inlineStr">
        <is>
          <t>METALES TOTALES AA* e ICP-OES - DUREZA TOTAL</t>
        </is>
      </c>
      <c r="G78" s="444" t="n"/>
      <c r="H78" s="444" t="n"/>
      <c r="I78" s="444" t="n"/>
      <c r="J78" s="444" t="n"/>
      <c r="K78" s="444" t="n"/>
      <c r="L78" s="444" t="n"/>
      <c r="M78" s="444" t="n"/>
      <c r="N78" s="444" t="n"/>
      <c r="O78" s="444" t="n"/>
      <c r="P78" s="444" t="n"/>
      <c r="Q78" s="500" t="n"/>
      <c r="R78" s="501">
        <f>IF(F78="","",VLOOKUP(F78,PARAMETROS!$A$2:$F$806,2,FALSE))</f>
        <v/>
      </c>
      <c r="S78" s="498" t="n"/>
      <c r="T78" s="498" t="n"/>
      <c r="U78" s="502" t="n"/>
      <c r="V78" s="501">
        <f>IF(F78="","",VLOOKUP(F78,PARAMETROS!$A$2:$F$806,3,FALSE))</f>
        <v/>
      </c>
      <c r="W78" s="498" t="n"/>
      <c r="X78" s="502" t="n"/>
      <c r="Y78" s="267">
        <f>IF(F78="","",VLOOKUP(F78,PARAMETROS!$A$2:$F$806,5,FALSE))</f>
        <v/>
      </c>
      <c r="Z78" s="498" t="n"/>
      <c r="AA78" s="268" t="n"/>
      <c r="AB78" s="268">
        <f>IF(F78="","",VLOOKUP(F78,PARAMETROS!$A$2:$F$806,4,FALSE))</f>
        <v/>
      </c>
      <c r="AC78" s="268" t="n"/>
      <c r="AD78" s="221" t="n"/>
    </row>
    <row r="79" ht="24.75" customHeight="1">
      <c r="A79" s="265" t="inlineStr">
        <is>
          <t>Duplicado (Dup)</t>
        </is>
      </c>
      <c r="B79" s="498" t="n"/>
      <c r="C79" s="498" t="n"/>
      <c r="D79" s="498" t="n"/>
      <c r="E79" s="498" t="n"/>
      <c r="F79" s="499" t="inlineStr">
        <is>
          <t>METALES TOTALES AA* e ICP-OES - DUREZA TOTAL</t>
        </is>
      </c>
      <c r="G79" s="444" t="n"/>
      <c r="H79" s="444" t="n"/>
      <c r="I79" s="444" t="n"/>
      <c r="J79" s="444" t="n"/>
      <c r="K79" s="444" t="n"/>
      <c r="L79" s="444" t="n"/>
      <c r="M79" s="444" t="n"/>
      <c r="N79" s="444" t="n"/>
      <c r="O79" s="444" t="n"/>
      <c r="P79" s="444" t="n"/>
      <c r="Q79" s="500" t="n"/>
      <c r="R79" s="501">
        <f>IF(F79="","",VLOOKUP(F79,PARAMETROS!$A$2:$F$806,2,FALSE))</f>
        <v/>
      </c>
      <c r="S79" s="498" t="n"/>
      <c r="T79" s="498" t="n"/>
      <c r="U79" s="502" t="n"/>
      <c r="V79" s="501">
        <f>IF(F79="","",VLOOKUP(F79,PARAMETROS!$A$2:$F$806,3,FALSE))</f>
        <v/>
      </c>
      <c r="W79" s="498" t="n"/>
      <c r="X79" s="502" t="n"/>
      <c r="Y79" s="267">
        <f>IF(F79="","",VLOOKUP(F79,PARAMETROS!$A$2:$F$806,5,FALSE))</f>
        <v/>
      </c>
      <c r="Z79" s="498" t="n"/>
      <c r="AA79" s="268" t="n"/>
      <c r="AB79" s="268">
        <f>IF(F79="","",VLOOKUP(F79,PARAMETROS!$A$2:$F$806,4,FALSE))</f>
        <v/>
      </c>
      <c r="AC79" s="268" t="n"/>
      <c r="AD79" s="221" t="n"/>
    </row>
    <row r="80" ht="30" customFormat="1" customHeight="1" s="219">
      <c r="A80" s="413" t="inlineStr">
        <is>
          <t>Duplicado (Dup-MB)</t>
        </is>
      </c>
      <c r="B80" s="503" t="n"/>
      <c r="C80" s="503" t="n"/>
      <c r="D80" s="503" t="n"/>
      <c r="E80" s="503" t="n"/>
      <c r="F80" s="499" t="inlineStr">
        <is>
          <t>COLIF.FECALES*/TOTALES* - E.COLI* - BACT.HETEROTROFAS*</t>
        </is>
      </c>
      <c r="G80" s="444" t="n"/>
      <c r="H80" s="444" t="n"/>
      <c r="I80" s="444" t="n"/>
      <c r="J80" s="444" t="n"/>
      <c r="K80" s="444" t="n"/>
      <c r="L80" s="444" t="n"/>
      <c r="M80" s="444" t="n"/>
      <c r="N80" s="444" t="n"/>
      <c r="O80" s="444" t="n"/>
      <c r="P80" s="444" t="n"/>
      <c r="Q80" s="500" t="n"/>
      <c r="R80" s="504">
        <f>IF(F80="","",VLOOKUP(F80,PARAMETROS!$A$2:$F$806,2,FALSE))</f>
        <v/>
      </c>
      <c r="S80" s="505" t="n"/>
      <c r="T80" s="505" t="n"/>
      <c r="U80" s="506" t="n"/>
      <c r="V80" s="504">
        <f>IF(F80="","",VLOOKUP(F80,PARAMETROS!$A$2:$F$806,3,FALSE))</f>
        <v/>
      </c>
      <c r="W80" s="505" t="n"/>
      <c r="X80" s="506" t="n"/>
      <c r="Y80" s="351">
        <f>IF(F80="","",VLOOKUP(F80,PARAMETROS!$A$2:$F$806,5,FALSE))</f>
        <v/>
      </c>
      <c r="Z80" s="505" t="n"/>
      <c r="AA80" s="352" t="n"/>
      <c r="AB80" s="352">
        <f>IF(F80="","",VLOOKUP(F80,PARAMETROS!$A$2:$F$806,4,FALSE))</f>
        <v/>
      </c>
      <c r="AC80" s="352" t="n"/>
      <c r="AD80" s="240" t="n"/>
    </row>
    <row r="81" ht="30" customFormat="1" customHeight="1" s="73">
      <c r="A81" s="419" t="inlineStr">
        <is>
          <t>Blanco Viajero MB (BK-VM)</t>
        </is>
      </c>
      <c r="B81" s="507" t="n"/>
      <c r="C81" s="507" t="n"/>
      <c r="D81" s="507" t="n"/>
      <c r="E81" s="507" t="n"/>
      <c r="F81" s="508" t="inlineStr">
        <is>
          <t>COLIF.FECALES*/TOTALES* - E.COLI* - BACT.HETEROTROFAS*</t>
        </is>
      </c>
      <c r="G81" s="509" t="n"/>
      <c r="H81" s="509" t="n"/>
      <c r="I81" s="509" t="n"/>
      <c r="J81" s="509" t="n"/>
      <c r="K81" s="509" t="n"/>
      <c r="L81" s="509" t="n"/>
      <c r="M81" s="509" t="n"/>
      <c r="N81" s="509" t="n"/>
      <c r="O81" s="509" t="n"/>
      <c r="P81" s="509" t="n"/>
      <c r="Q81" s="493" t="n"/>
      <c r="R81" s="510">
        <f>IF(F81="","",VLOOKUP(F81,PARAMETROS!$A$2:$F$806,2,FALSE))</f>
        <v/>
      </c>
      <c r="S81" s="126" t="n"/>
      <c r="T81" s="126" t="n"/>
      <c r="U81" s="511" t="n"/>
      <c r="V81" s="510">
        <f>IF(F81="","",VLOOKUP(F81,PARAMETROS!$A$2:$F$806,3,FALSE))</f>
        <v/>
      </c>
      <c r="W81" s="126" t="n"/>
      <c r="X81" s="511" t="n"/>
      <c r="Y81" s="367">
        <f>IF(F81="","",VLOOKUP(F81,PARAMETROS!$A$2:$F$806,5,FALSE))</f>
        <v/>
      </c>
      <c r="Z81" s="126" t="n"/>
      <c r="AA81" s="368" t="n"/>
      <c r="AB81" s="368">
        <f>IF(F81="","",VLOOKUP(F81,PARAMETROS!$A$2:$F$806,4,FALSE))</f>
        <v/>
      </c>
      <c r="AC81" s="368" t="n"/>
      <c r="AD81" s="238" t="n"/>
    </row>
    <row r="82" ht="17.25" customHeight="1">
      <c r="A82" s="417" t="inlineStr">
        <is>
          <t>Material de contingencia</t>
        </is>
      </c>
      <c r="B82" s="121" t="n"/>
      <c r="C82" s="121" t="n"/>
      <c r="D82" s="121" t="n"/>
      <c r="E82" s="121" t="n"/>
      <c r="F82" s="121" t="n"/>
      <c r="G82" s="121" t="n"/>
      <c r="H82" s="121" t="n"/>
      <c r="I82" s="121" t="n"/>
      <c r="J82" s="121" t="n"/>
      <c r="K82" s="121" t="n"/>
      <c r="L82" s="121" t="n"/>
      <c r="M82" s="121" t="n"/>
      <c r="N82" s="121" t="n"/>
      <c r="O82" s="121" t="n"/>
      <c r="P82" s="121" t="n"/>
      <c r="Q82" s="121" t="n"/>
      <c r="R82" s="121" t="n"/>
      <c r="S82" s="121" t="n"/>
      <c r="T82" s="121" t="n"/>
      <c r="U82" s="121" t="n"/>
      <c r="V82" s="121" t="n"/>
      <c r="W82" s="121" t="n"/>
      <c r="X82" s="121" t="n"/>
      <c r="Y82" s="121" t="n"/>
      <c r="Z82" s="121" t="n"/>
      <c r="AA82" s="121" t="n"/>
      <c r="AB82" s="121" t="n"/>
      <c r="AC82" s="121" t="n"/>
      <c r="AD82" s="446" t="n"/>
    </row>
    <row r="83" ht="23.25" customHeight="1">
      <c r="A83" s="512" t="n"/>
      <c r="B83" s="449" t="n"/>
      <c r="C83" s="449" t="n"/>
      <c r="D83" s="449" t="n"/>
      <c r="E83" s="449" t="n"/>
      <c r="F83" s="449" t="n"/>
      <c r="G83" s="449" t="n"/>
      <c r="H83" s="449" t="n"/>
      <c r="I83" s="449" t="n"/>
      <c r="J83" s="449" t="n"/>
      <c r="K83" s="449" t="n"/>
      <c r="L83" s="449" t="n"/>
      <c r="M83" s="449" t="n"/>
      <c r="N83" s="449" t="n"/>
      <c r="O83" s="449" t="n"/>
      <c r="P83" s="449" t="n"/>
      <c r="Q83" s="449" t="n"/>
      <c r="R83" s="449" t="n"/>
      <c r="S83" s="449" t="n"/>
      <c r="T83" s="449" t="n"/>
      <c r="U83" s="449" t="n"/>
      <c r="V83" s="449" t="n"/>
      <c r="W83" s="449" t="n"/>
      <c r="X83" s="449" t="n"/>
      <c r="Y83" s="449" t="n"/>
      <c r="Z83" s="449" t="n"/>
      <c r="AA83" s="449" t="n"/>
      <c r="AB83" s="449" t="n"/>
      <c r="AC83" s="449" t="n"/>
      <c r="AD83" s="465" t="n"/>
    </row>
    <row r="84" ht="50.25" customFormat="1" customHeight="1" s="60">
      <c r="A84" s="513" t="n"/>
      <c r="B84" s="467" t="n"/>
      <c r="C84" s="467" t="n"/>
      <c r="D84" s="467" t="n"/>
      <c r="E84" s="467" t="n"/>
      <c r="F84" s="467" t="n"/>
      <c r="G84" s="467" t="n"/>
      <c r="H84" s="467" t="n"/>
      <c r="I84" s="467" t="n"/>
      <c r="J84" s="467" t="n"/>
      <c r="K84" s="467" t="n"/>
      <c r="L84" s="467" t="n"/>
      <c r="M84" s="467" t="n"/>
      <c r="N84" s="467" t="n"/>
      <c r="O84" s="467" t="n"/>
      <c r="P84" s="467" t="n"/>
      <c r="Q84" s="467" t="n"/>
      <c r="R84" s="467" t="n"/>
      <c r="S84" s="467" t="n"/>
      <c r="T84" s="467" t="n"/>
      <c r="U84" s="467" t="n"/>
      <c r="V84" s="467" t="n"/>
      <c r="W84" s="467" t="n"/>
      <c r="X84" s="467" t="n"/>
      <c r="Y84" s="467" t="n"/>
      <c r="Z84" s="467" t="n"/>
      <c r="AA84" s="467" t="n"/>
      <c r="AB84" s="467" t="n"/>
      <c r="AC84" s="467" t="n"/>
      <c r="AD84" s="468" t="n"/>
    </row>
    <row r="85" ht="25.5" customFormat="1" customHeight="1" s="86">
      <c r="A85" s="67" t="inlineStr">
        <is>
          <t>(G*): Gotas - Lt: Litro - mL: Mililitros - Und.: Unidades - Vol: Volumen -H: HI.Vol - L: Low.Vol - Resp.: Responsable - V.E: Vidrio Esteril</t>
        </is>
      </c>
      <c r="B85" s="279" t="n"/>
      <c r="C85" s="279" t="n"/>
      <c r="D85" s="279" t="n"/>
      <c r="E85" s="279" t="n"/>
      <c r="F85" s="279" t="n"/>
      <c r="G85" s="279" t="n"/>
      <c r="H85" s="279" t="n"/>
      <c r="I85" s="279" t="n"/>
      <c r="J85" s="279" t="n"/>
      <c r="K85" s="279" t="n"/>
      <c r="L85" s="279" t="n"/>
      <c r="M85" s="279" t="n"/>
      <c r="N85" s="279" t="n"/>
      <c r="O85" s="279" t="n"/>
      <c r="P85" s="279" t="n"/>
      <c r="Q85" s="279" t="n"/>
      <c r="R85" s="279" t="n"/>
      <c r="S85" s="279" t="n"/>
      <c r="T85" s="279" t="n"/>
      <c r="U85" s="279" t="n"/>
      <c r="V85" s="279" t="n"/>
      <c r="W85" s="279" t="n"/>
      <c r="X85" s="279" t="n"/>
      <c r="Y85" s="279" t="n"/>
      <c r="Z85" s="279" t="n"/>
      <c r="AA85" s="279" t="n"/>
      <c r="AB85" s="279" t="n"/>
      <c r="AC85" s="279" t="n"/>
      <c r="AD85" s="279" t="n"/>
    </row>
    <row r="86" ht="234" customFormat="1" customHeight="1" s="60">
      <c r="C86" s="105" t="n"/>
      <c r="D86" s="105" t="n"/>
      <c r="E86" s="105" t="n"/>
      <c r="F86" s="105" t="n"/>
      <c r="G86" s="105" t="n"/>
      <c r="H86" s="105" t="n"/>
      <c r="I86" s="105" t="n"/>
      <c r="J86" s="105" t="n"/>
      <c r="K86" s="105" t="n"/>
      <c r="L86" s="105" t="n"/>
      <c r="M86" s="105" t="n"/>
      <c r="O86" s="82" t="n"/>
      <c r="P86" s="82" t="n"/>
      <c r="Q86" s="82" t="n"/>
      <c r="R86" s="82" t="n"/>
      <c r="S86" s="84" t="n"/>
      <c r="T86" s="84" t="n"/>
      <c r="U86" s="106" t="n"/>
      <c r="V86" s="106" t="n"/>
      <c r="W86" s="106" t="n"/>
      <c r="X86" s="106" t="n"/>
      <c r="Y86" s="106" t="n"/>
      <c r="Z86" s="106" t="n"/>
      <c r="AA86" s="106" t="n"/>
      <c r="AB86" s="84" t="n"/>
      <c r="AC86" s="84" t="n"/>
      <c r="AD86" s="81" t="n"/>
    </row>
    <row r="87" ht="36.75" customHeight="1">
      <c r="A87" s="85" t="n"/>
      <c r="B87" s="86" t="n"/>
      <c r="C87" s="86" t="n"/>
      <c r="D87" s="395" t="inlineStr">
        <is>
          <t xml:space="preserve">Responsable de Preparación del material </t>
        </is>
      </c>
      <c r="E87" s="204" t="n"/>
      <c r="F87" s="204" t="n"/>
      <c r="G87" s="204" t="n"/>
      <c r="H87" s="204" t="n"/>
      <c r="I87" s="204" t="n"/>
      <c r="J87" s="204" t="n"/>
      <c r="K87" s="204" t="n"/>
      <c r="L87" s="86" t="n"/>
      <c r="M87" s="87" t="n"/>
      <c r="N87" s="87" t="n"/>
      <c r="O87" s="87" t="n"/>
      <c r="P87" s="87" t="n"/>
      <c r="Q87" s="87" t="n"/>
      <c r="R87" s="87" t="n"/>
      <c r="S87" s="86" t="n"/>
      <c r="T87" s="57" t="n"/>
      <c r="U87" s="353" t="inlineStr">
        <is>
          <t xml:space="preserve">V° B° Supervisor </t>
        </is>
      </c>
      <c r="AB87" s="353" t="n"/>
      <c r="AC87" s="353" t="n"/>
      <c r="AD87" s="68" t="n"/>
    </row>
    <row r="88">
      <c r="A88" s="88" t="n"/>
      <c r="B88" s="374" t="n"/>
      <c r="G88" s="88" t="n"/>
      <c r="H88" s="60" t="n"/>
      <c r="I88" s="60" t="n"/>
      <c r="J88" s="60" t="n"/>
      <c r="K88" s="60" t="n"/>
      <c r="L88" s="60" t="n"/>
      <c r="M88" s="82" t="n"/>
      <c r="N88" s="82" t="n"/>
      <c r="O88" s="82" t="n"/>
      <c r="P88" s="82" t="n"/>
      <c r="Q88" s="82" t="n"/>
      <c r="R88" s="82" t="n"/>
      <c r="S88" s="342" t="n"/>
      <c r="Z88" s="279" t="n"/>
      <c r="AA88" s="279" t="n"/>
      <c r="AB88" s="279" t="n"/>
      <c r="AC88" s="279" t="n"/>
      <c r="AD88" s="81" t="n"/>
    </row>
  </sheetData>
  <mergeCells count="299">
    <mergeCell ref="B26:O26"/>
    <mergeCell ref="B41:O41"/>
    <mergeCell ref="AB25:AD25"/>
    <mergeCell ref="D60:E60"/>
    <mergeCell ref="B35:O35"/>
    <mergeCell ref="A15:B15"/>
    <mergeCell ref="S23:U23"/>
    <mergeCell ref="P20:Q20"/>
    <mergeCell ref="S37:U37"/>
    <mergeCell ref="F68:G68"/>
    <mergeCell ref="F76:Q76"/>
    <mergeCell ref="B16:O16"/>
    <mergeCell ref="V16:Y16"/>
    <mergeCell ref="AB27:AD27"/>
    <mergeCell ref="B25:O25"/>
    <mergeCell ref="AB36:AD36"/>
    <mergeCell ref="H55:I55"/>
    <mergeCell ref="AC62:AD62"/>
    <mergeCell ref="A79:E79"/>
    <mergeCell ref="P22:Q22"/>
    <mergeCell ref="B18:O18"/>
    <mergeCell ref="Q55:R55"/>
    <mergeCell ref="B27:O27"/>
    <mergeCell ref="S24:U24"/>
    <mergeCell ref="P46:Q46"/>
    <mergeCell ref="A71:AD71"/>
    <mergeCell ref="Z37:AA37"/>
    <mergeCell ref="D61:E61"/>
    <mergeCell ref="F70:G70"/>
    <mergeCell ref="F11:R11"/>
    <mergeCell ref="P39:Q39"/>
    <mergeCell ref="Z21:AA21"/>
    <mergeCell ref="A70:D70"/>
    <mergeCell ref="Z39:AA39"/>
    <mergeCell ref="AB37:AD37"/>
    <mergeCell ref="B44:O44"/>
    <mergeCell ref="S41:U41"/>
    <mergeCell ref="F72:G72"/>
    <mergeCell ref="AC63:AD63"/>
    <mergeCell ref="R78:U78"/>
    <mergeCell ref="P32:Q32"/>
    <mergeCell ref="V80:X80"/>
    <mergeCell ref="A52:AD52"/>
    <mergeCell ref="Z29:AA29"/>
    <mergeCell ref="F6:AD6"/>
    <mergeCell ref="B29:O29"/>
    <mergeCell ref="Z23:AA23"/>
    <mergeCell ref="Z38:AA38"/>
    <mergeCell ref="B37:O37"/>
    <mergeCell ref="D56:E56"/>
    <mergeCell ref="D62:E62"/>
    <mergeCell ref="S25:U25"/>
    <mergeCell ref="F56:G56"/>
    <mergeCell ref="AC60:AD60"/>
    <mergeCell ref="H65:I65"/>
    <mergeCell ref="S43:U43"/>
    <mergeCell ref="P47:Q47"/>
    <mergeCell ref="R80:U80"/>
    <mergeCell ref="AB24:AD24"/>
    <mergeCell ref="Y77:Z77"/>
    <mergeCell ref="A83:AD83"/>
    <mergeCell ref="P43:Q43"/>
    <mergeCell ref="D64:E64"/>
    <mergeCell ref="S27:U27"/>
    <mergeCell ref="H62:I62"/>
    <mergeCell ref="S42:U42"/>
    <mergeCell ref="P24:Q24"/>
    <mergeCell ref="P33:Q33"/>
    <mergeCell ref="U87:AA87"/>
    <mergeCell ref="Z24:AA24"/>
    <mergeCell ref="A13:H13"/>
    <mergeCell ref="M70:R70"/>
    <mergeCell ref="S17:U17"/>
    <mergeCell ref="V78:X78"/>
    <mergeCell ref="AB40:AD40"/>
    <mergeCell ref="F57:G57"/>
    <mergeCell ref="A77:E77"/>
    <mergeCell ref="P26:Q26"/>
    <mergeCell ref="A66:C66"/>
    <mergeCell ref="P35:Q35"/>
    <mergeCell ref="F63:G63"/>
    <mergeCell ref="S28:U28"/>
    <mergeCell ref="H63:I63"/>
    <mergeCell ref="Z27:AA27"/>
    <mergeCell ref="P25:Q25"/>
    <mergeCell ref="Z41:AA41"/>
    <mergeCell ref="AB43:AD43"/>
    <mergeCell ref="Z70:AD70"/>
    <mergeCell ref="T64:Y64"/>
    <mergeCell ref="P34:Q34"/>
    <mergeCell ref="H56:I56"/>
    <mergeCell ref="H68:I68"/>
    <mergeCell ref="Z25:AA25"/>
    <mergeCell ref="A78:E78"/>
    <mergeCell ref="B43:O43"/>
    <mergeCell ref="Z43:AA43"/>
    <mergeCell ref="Z16:AD16"/>
    <mergeCell ref="AB17:AD17"/>
    <mergeCell ref="P36:Q36"/>
    <mergeCell ref="Z22:AA22"/>
    <mergeCell ref="Y79:Z79"/>
    <mergeCell ref="B42:O42"/>
    <mergeCell ref="D66:E66"/>
    <mergeCell ref="A80:E80"/>
    <mergeCell ref="W70:Y70"/>
    <mergeCell ref="F66:G66"/>
    <mergeCell ref="B88:F88"/>
    <mergeCell ref="AC55:AD55"/>
    <mergeCell ref="F77:Q77"/>
    <mergeCell ref="AC64:AD64"/>
    <mergeCell ref="H69:I69"/>
    <mergeCell ref="B17:O17"/>
    <mergeCell ref="AB19:AD19"/>
    <mergeCell ref="AB34:AD34"/>
    <mergeCell ref="F62:G62"/>
    <mergeCell ref="AB28:AD28"/>
    <mergeCell ref="Y81:Z81"/>
    <mergeCell ref="AB42:AD42"/>
    <mergeCell ref="S32:U32"/>
    <mergeCell ref="D87:K87"/>
    <mergeCell ref="S26:U26"/>
    <mergeCell ref="P28:Q28"/>
    <mergeCell ref="B34:O34"/>
    <mergeCell ref="B19:O19"/>
    <mergeCell ref="F7:AD7"/>
    <mergeCell ref="P37:Q37"/>
    <mergeCell ref="B28:O28"/>
    <mergeCell ref="AB30:AD30"/>
    <mergeCell ref="S16:U16"/>
    <mergeCell ref="F61:G61"/>
    <mergeCell ref="AC56:AD56"/>
    <mergeCell ref="AC65:AD65"/>
    <mergeCell ref="F78:Q78"/>
    <mergeCell ref="A81:E81"/>
    <mergeCell ref="AB20:AD20"/>
    <mergeCell ref="P30:Q30"/>
    <mergeCell ref="AB29:AD29"/>
    <mergeCell ref="B30:O30"/>
    <mergeCell ref="A82:AD82"/>
    <mergeCell ref="S18:U18"/>
    <mergeCell ref="B20:O20"/>
    <mergeCell ref="AA54:AD54"/>
    <mergeCell ref="Z31:AA31"/>
    <mergeCell ref="B45:O45"/>
    <mergeCell ref="Z46:AA46"/>
    <mergeCell ref="A49:AD51"/>
    <mergeCell ref="Z40:AA40"/>
    <mergeCell ref="F8:AD8"/>
    <mergeCell ref="V81:X81"/>
    <mergeCell ref="F64:G64"/>
    <mergeCell ref="F1:AB1"/>
    <mergeCell ref="AB46:AD46"/>
    <mergeCell ref="D63:E63"/>
    <mergeCell ref="B47:O47"/>
    <mergeCell ref="F9:R9"/>
    <mergeCell ref="F79:Q79"/>
    <mergeCell ref="AC66:AD66"/>
    <mergeCell ref="R81:U81"/>
    <mergeCell ref="H70:J70"/>
    <mergeCell ref="P41:Q41"/>
    <mergeCell ref="B31:O31"/>
    <mergeCell ref="Z32:AA32"/>
    <mergeCell ref="H58:I58"/>
    <mergeCell ref="D65:E65"/>
    <mergeCell ref="Z26:AA26"/>
    <mergeCell ref="A84:AD84"/>
    <mergeCell ref="S34:U34"/>
    <mergeCell ref="A75:AD75"/>
    <mergeCell ref="B46:O46"/>
    <mergeCell ref="S88:Y88"/>
    <mergeCell ref="F81:Q81"/>
    <mergeCell ref="AC68:AD68"/>
    <mergeCell ref="B21:O21"/>
    <mergeCell ref="B39:O39"/>
    <mergeCell ref="AB38:AD38"/>
    <mergeCell ref="H60:I60"/>
    <mergeCell ref="AC58:AD58"/>
    <mergeCell ref="M3:O3"/>
    <mergeCell ref="S36:U36"/>
    <mergeCell ref="AC67:AD67"/>
    <mergeCell ref="X12:AD12"/>
    <mergeCell ref="S30:U30"/>
    <mergeCell ref="P27:Q27"/>
    <mergeCell ref="S45:U45"/>
    <mergeCell ref="B23:O23"/>
    <mergeCell ref="A3:B3"/>
    <mergeCell ref="Z18:AA18"/>
    <mergeCell ref="A5:AD5"/>
    <mergeCell ref="Y78:Z78"/>
    <mergeCell ref="S20:U20"/>
    <mergeCell ref="F10:R10"/>
    <mergeCell ref="S29:U29"/>
    <mergeCell ref="P17:Q17"/>
    <mergeCell ref="Y76:AD76"/>
    <mergeCell ref="AC69:AD69"/>
    <mergeCell ref="Z17:AA17"/>
    <mergeCell ref="Z42:AA42"/>
    <mergeCell ref="AB18:AD18"/>
    <mergeCell ref="AB33:AD33"/>
    <mergeCell ref="S44:U44"/>
    <mergeCell ref="S22:U22"/>
    <mergeCell ref="H57:I57"/>
    <mergeCell ref="Y80:Z80"/>
    <mergeCell ref="S31:U31"/>
    <mergeCell ref="H66:I66"/>
    <mergeCell ref="P19:Q19"/>
    <mergeCell ref="Z44:AA44"/>
    <mergeCell ref="S46:U46"/>
    <mergeCell ref="S21:U21"/>
    <mergeCell ref="D55:E55"/>
    <mergeCell ref="Z20:AA20"/>
    <mergeCell ref="Z34:AA34"/>
    <mergeCell ref="Z28:AA28"/>
    <mergeCell ref="D67:E67"/>
    <mergeCell ref="C15:W15"/>
    <mergeCell ref="AB45:AD45"/>
    <mergeCell ref="R76:U76"/>
    <mergeCell ref="K55:P55"/>
    <mergeCell ref="B36:O36"/>
    <mergeCell ref="P45:Q45"/>
    <mergeCell ref="Z36:AA36"/>
    <mergeCell ref="T54:Y54"/>
    <mergeCell ref="V77:X77"/>
    <mergeCell ref="D69:E69"/>
    <mergeCell ref="Z30:AA30"/>
    <mergeCell ref="Z45:AA45"/>
    <mergeCell ref="S38:U38"/>
    <mergeCell ref="H67:I67"/>
    <mergeCell ref="F69:G69"/>
    <mergeCell ref="AB47:AD47"/>
    <mergeCell ref="P29:Q29"/>
    <mergeCell ref="AB44:AD44"/>
    <mergeCell ref="P38:Q38"/>
    <mergeCell ref="F80:Q80"/>
    <mergeCell ref="F65:G65"/>
    <mergeCell ref="AB22:AD22"/>
    <mergeCell ref="AB31:AD31"/>
    <mergeCell ref="AC57:AD57"/>
    <mergeCell ref="R77:U77"/>
    <mergeCell ref="S40:U40"/>
    <mergeCell ref="X10:AD10"/>
    <mergeCell ref="P44:Q44"/>
    <mergeCell ref="P31:Q31"/>
    <mergeCell ref="B22:O22"/>
    <mergeCell ref="AB21:AD21"/>
    <mergeCell ref="K54:R54"/>
    <mergeCell ref="P40:Q40"/>
    <mergeCell ref="AB39:AD39"/>
    <mergeCell ref="F59:G59"/>
    <mergeCell ref="N72:O72"/>
    <mergeCell ref="H59:I59"/>
    <mergeCell ref="S19:U19"/>
    <mergeCell ref="F55:G55"/>
    <mergeCell ref="S33:U33"/>
    <mergeCell ref="P21:Q21"/>
    <mergeCell ref="X9:AD9"/>
    <mergeCell ref="H64:I64"/>
    <mergeCell ref="D57:E57"/>
    <mergeCell ref="AB23:AD23"/>
    <mergeCell ref="Z47:AA47"/>
    <mergeCell ref="H61:I61"/>
    <mergeCell ref="P3:U3"/>
    <mergeCell ref="S35:U35"/>
    <mergeCell ref="P23:Q23"/>
    <mergeCell ref="X11:AD11"/>
    <mergeCell ref="R79:U79"/>
    <mergeCell ref="AC72:AD72"/>
    <mergeCell ref="B38:O38"/>
    <mergeCell ref="P16:Q16"/>
    <mergeCell ref="A76:E76"/>
    <mergeCell ref="Z33:AA33"/>
    <mergeCell ref="F12:R12"/>
    <mergeCell ref="D58:E58"/>
    <mergeCell ref="F58:G58"/>
    <mergeCell ref="S47:U47"/>
    <mergeCell ref="F67:G67"/>
    <mergeCell ref="P18:Q18"/>
    <mergeCell ref="B40:O40"/>
    <mergeCell ref="Z35:AA35"/>
    <mergeCell ref="V76:X76"/>
    <mergeCell ref="D68:E68"/>
    <mergeCell ref="AC59:AD59"/>
    <mergeCell ref="A48:AD48"/>
    <mergeCell ref="B24:O24"/>
    <mergeCell ref="AB32:AD32"/>
    <mergeCell ref="F60:G60"/>
    <mergeCell ref="Z19:AA19"/>
    <mergeCell ref="P42:Q42"/>
    <mergeCell ref="AB41:AD41"/>
    <mergeCell ref="B33:O33"/>
    <mergeCell ref="Y2:AC3"/>
    <mergeCell ref="AB35:AD35"/>
    <mergeCell ref="AB26:AD26"/>
    <mergeCell ref="V79:X79"/>
    <mergeCell ref="S39:U39"/>
    <mergeCell ref="AC61:AD61"/>
    <mergeCell ref="D59:E59"/>
    <mergeCell ref="B32:O32"/>
    <mergeCell ref="A54:I54"/>
  </mergeCells>
  <hyperlinks>
    <hyperlink xmlns:r="http://schemas.openxmlformats.org/officeDocument/2006/relationships" ref="X10" r:id="rId1"/>
  </hyperlinks>
  <printOptions horizontalCentered="1"/>
  <pageMargins left="0.5118110236220472" right="0.5118110236220472" top="0.3543307086614174" bottom="0.3543307086614174" header="0" footer="0"/>
  <pageSetup orientation="portrait" paperSize="9" scale="37" horizontalDpi="360" verticalDpi="360"/>
  <headerFooter>
    <oddHeader/>
    <oddFooter>&amp;L&amp;"-,Negrita Cursiva"&amp;K0070C0FR-13-08-06/V05, 2023.06.20_x000a_&amp;R&amp;"-,Negrita Cursiva"&amp;K0070C0CCC/CYP/CYP&amp;"-,Normal"&amp;K01+000_x000a_1 DE 1</oddFooter>
    <evenHeader/>
    <evenFooter/>
    <firstHeader/>
    <firstFooter/>
  </headerFooter>
  <drawing xmlns:r="http://schemas.openxmlformats.org/officeDocument/2006/relationships" r:id="rId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B2" sqref="B2"/>
    </sheetView>
  </sheetViews>
  <sheetFormatPr baseColWidth="10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2">
    <outlinePr summaryBelow="1" summaryRight="1"/>
    <pageSetUpPr/>
  </sheetPr>
  <dimension ref="A1:G175"/>
  <sheetViews>
    <sheetView workbookViewId="0">
      <pane ySplit="1" topLeftCell="A77" activePane="bottomLeft" state="frozen"/>
      <selection pane="bottomLeft" activeCell="B84" sqref="B84:G84"/>
    </sheetView>
  </sheetViews>
  <sheetFormatPr baseColWidth="10" defaultRowHeight="14.5"/>
  <cols>
    <col width="61.7265625" customWidth="1" min="1" max="1"/>
    <col width="14.81640625" customWidth="1" min="2" max="2"/>
    <col width="10.54296875" customWidth="1" min="3" max="3"/>
    <col width="52.81640625" customWidth="1" min="4" max="4"/>
    <col width="8.54296875" customWidth="1" min="5" max="5"/>
    <col width="24.81640625" customWidth="1" min="6" max="6"/>
    <col width="25.54296875" customWidth="1" min="7" max="7"/>
  </cols>
  <sheetData>
    <row r="1" ht="24" customHeight="1" thickBot="1">
      <c r="A1" s="137" t="inlineStr">
        <is>
          <t>PARAMETRO</t>
        </is>
      </c>
      <c r="B1" s="131" t="inlineStr">
        <is>
          <t xml:space="preserve">ENVASE </t>
        </is>
      </c>
      <c r="C1" s="15" t="inlineStr">
        <is>
          <t>VOLUMEN</t>
        </is>
      </c>
      <c r="D1" s="434" t="inlineStr">
        <is>
          <t>PRESERVACIÓN</t>
        </is>
      </c>
      <c r="E1" s="514" t="n"/>
      <c r="F1" s="515" t="inlineStr">
        <is>
          <t xml:space="preserve">Q C </t>
        </is>
      </c>
      <c r="G1" s="516" t="n"/>
    </row>
    <row r="2">
      <c r="A2" s="139" t="inlineStr">
        <is>
          <t>(-.-.-.)COT (CARBONO ORGANICO TOTAL)</t>
        </is>
      </c>
      <c r="B2" s="207" t="inlineStr">
        <is>
          <t>P</t>
        </is>
      </c>
      <c r="C2" s="208" t="inlineStr">
        <is>
          <t>500 mL</t>
        </is>
      </c>
      <c r="D2" s="209" t="inlineStr">
        <is>
          <t>H2SO4 1:1</t>
        </is>
      </c>
      <c r="E2" s="208" t="inlineStr">
        <is>
          <t xml:space="preserve">10 (G*) </t>
        </is>
      </c>
      <c r="F2" s="255" t="inlineStr">
        <is>
          <t>-</t>
        </is>
      </c>
      <c r="G2" s="245" t="inlineStr">
        <is>
          <t>No Requiere</t>
        </is>
      </c>
    </row>
    <row r="3">
      <c r="A3" s="121" t="inlineStr">
        <is>
          <t>ACEITES Y GRASAS*</t>
        </is>
      </c>
      <c r="B3" s="135" t="inlineStr">
        <is>
          <t>V.A</t>
        </is>
      </c>
      <c r="C3" s="13" t="inlineStr">
        <is>
          <t>1 Lt</t>
        </is>
      </c>
      <c r="D3" s="1" t="inlineStr">
        <is>
          <t>H2SO4 1:1</t>
        </is>
      </c>
      <c r="E3" s="13" t="inlineStr">
        <is>
          <t xml:space="preserve">100 (G*) </t>
        </is>
      </c>
      <c r="F3" s="254" t="n">
        <v>2</v>
      </c>
      <c r="G3" s="246" t="inlineStr">
        <is>
          <t>Frascos adicionales</t>
        </is>
      </c>
    </row>
    <row r="4">
      <c r="A4" s="121" t="inlineStr">
        <is>
          <t>Acidez</t>
        </is>
      </c>
      <c r="B4" s="133" t="inlineStr">
        <is>
          <t>P</t>
        </is>
      </c>
      <c r="C4" s="13" t="inlineStr">
        <is>
          <t>120 mL</t>
        </is>
      </c>
      <c r="D4" s="1" t="inlineStr">
        <is>
          <t>No requiere</t>
        </is>
      </c>
      <c r="E4" s="13" t="inlineStr">
        <is>
          <t>.</t>
        </is>
      </c>
      <c r="F4" s="254" t="n">
        <v>1</v>
      </c>
      <c r="G4" s="246" t="inlineStr">
        <is>
          <t>frasco de 100 ml adicional</t>
        </is>
      </c>
    </row>
    <row r="5">
      <c r="A5" s="121" t="inlineStr">
        <is>
          <t>DOSIS DE REFERENCIA</t>
        </is>
      </c>
      <c r="B5" s="134" t="inlineStr">
        <is>
          <t>P</t>
        </is>
      </c>
      <c r="C5" s="13" t="inlineStr">
        <is>
          <t>1 Lt</t>
        </is>
      </c>
      <c r="D5" s="3" t="inlineStr">
        <is>
          <t>No requiere</t>
        </is>
      </c>
      <c r="E5" s="14" t="inlineStr">
        <is>
          <t>.</t>
        </is>
      </c>
      <c r="F5" s="256" t="inlineStr">
        <is>
          <t>-</t>
        </is>
      </c>
      <c r="G5" s="247" t="inlineStr">
        <is>
          <t>No Requiere</t>
        </is>
      </c>
    </row>
    <row r="6">
      <c r="A6" s="121" t="inlineStr">
        <is>
          <t>MCPA</t>
        </is>
      </c>
      <c r="B6" s="134" t="inlineStr">
        <is>
          <t>P</t>
        </is>
      </c>
      <c r="C6" s="13" t="inlineStr">
        <is>
          <t>1 Lt</t>
        </is>
      </c>
      <c r="D6" s="3" t="inlineStr">
        <is>
          <t>No requiere</t>
        </is>
      </c>
      <c r="E6" s="14" t="inlineStr">
        <is>
          <t>.</t>
        </is>
      </c>
      <c r="F6" s="257" t="inlineStr">
        <is>
          <t>-</t>
        </is>
      </c>
      <c r="G6" s="247" t="inlineStr">
        <is>
          <t>No Requiere</t>
        </is>
      </c>
    </row>
    <row r="7">
      <c r="A7" s="121" t="inlineStr">
        <is>
          <t>ORGANICOS - INORGANICOS</t>
        </is>
      </c>
      <c r="B7" s="134" t="inlineStr">
        <is>
          <t>P</t>
        </is>
      </c>
      <c r="C7" s="13" t="inlineStr">
        <is>
          <t>1 Lt</t>
        </is>
      </c>
      <c r="D7" s="3" t="inlineStr">
        <is>
          <t>No requiere</t>
        </is>
      </c>
      <c r="E7" s="14" t="inlineStr">
        <is>
          <t>.</t>
        </is>
      </c>
      <c r="F7" s="257" t="inlineStr">
        <is>
          <t>-</t>
        </is>
      </c>
      <c r="G7" s="247" t="inlineStr">
        <is>
          <t>No Requiere</t>
        </is>
      </c>
    </row>
    <row r="8">
      <c r="A8" s="121" t="inlineStr">
        <is>
          <t>AI-CO</t>
        </is>
      </c>
      <c r="B8" s="135" t="inlineStr">
        <is>
          <t>P.A</t>
        </is>
      </c>
      <c r="C8" s="13" t="inlineStr">
        <is>
          <t>120 mL</t>
        </is>
      </c>
      <c r="D8" s="1" t="inlineStr">
        <is>
          <t>No Requiere</t>
        </is>
      </c>
      <c r="E8" s="13" t="inlineStr">
        <is>
          <t>.</t>
        </is>
      </c>
      <c r="F8" s="257" t="inlineStr">
        <is>
          <t>-</t>
        </is>
      </c>
      <c r="G8" s="246" t="inlineStr">
        <is>
          <t>No Requiere</t>
        </is>
      </c>
    </row>
    <row r="9">
      <c r="A9" s="121" t="inlineStr">
        <is>
          <t>AI-CO- H2S- NO2-SO2</t>
        </is>
      </c>
      <c r="B9" s="135" t="inlineStr">
        <is>
          <t>P.A</t>
        </is>
      </c>
      <c r="C9" s="13" t="inlineStr">
        <is>
          <t>120 mL</t>
        </is>
      </c>
      <c r="D9" s="1" t="inlineStr">
        <is>
          <t>No Requiere</t>
        </is>
      </c>
      <c r="E9" s="13" t="inlineStr">
        <is>
          <t>.</t>
        </is>
      </c>
      <c r="F9" s="257" t="inlineStr">
        <is>
          <t>-</t>
        </is>
      </c>
      <c r="G9" s="246" t="inlineStr">
        <is>
          <t>No Requiere</t>
        </is>
      </c>
    </row>
    <row r="10">
      <c r="A10" s="121" t="inlineStr">
        <is>
          <t>AI-CO- NO2</t>
        </is>
      </c>
      <c r="B10" s="135" t="inlineStr">
        <is>
          <t>P.A</t>
        </is>
      </c>
      <c r="C10" s="13" t="inlineStr">
        <is>
          <t>120 mL</t>
        </is>
      </c>
      <c r="D10" s="1" t="inlineStr">
        <is>
          <t>No Requiere</t>
        </is>
      </c>
      <c r="E10" s="13" t="inlineStr">
        <is>
          <t>.</t>
        </is>
      </c>
      <c r="F10" s="257" t="inlineStr">
        <is>
          <t>-</t>
        </is>
      </c>
      <c r="G10" s="246" t="inlineStr">
        <is>
          <t>No Requiere</t>
        </is>
      </c>
    </row>
    <row r="11">
      <c r="A11" s="121" t="inlineStr">
        <is>
          <t>AI-CO- NO2</t>
        </is>
      </c>
      <c r="B11" s="135" t="inlineStr">
        <is>
          <t>P.A</t>
        </is>
      </c>
      <c r="C11" s="13" t="inlineStr">
        <is>
          <t>120 mL</t>
        </is>
      </c>
      <c r="D11" s="1" t="inlineStr">
        <is>
          <t>No Requiere</t>
        </is>
      </c>
      <c r="E11" s="13" t="inlineStr">
        <is>
          <t>.</t>
        </is>
      </c>
      <c r="F11" s="257" t="inlineStr">
        <is>
          <t>-</t>
        </is>
      </c>
      <c r="G11" s="246" t="inlineStr">
        <is>
          <t>No Requiere</t>
        </is>
      </c>
    </row>
    <row r="12">
      <c r="A12" s="121" t="inlineStr">
        <is>
          <t>AI-CO- NO2- H2S</t>
        </is>
      </c>
      <c r="B12" s="135" t="inlineStr">
        <is>
          <t>P.A</t>
        </is>
      </c>
      <c r="C12" s="13" t="inlineStr">
        <is>
          <t>120 mL</t>
        </is>
      </c>
      <c r="D12" s="1" t="inlineStr">
        <is>
          <t>No Requiere</t>
        </is>
      </c>
      <c r="E12" s="13" t="inlineStr">
        <is>
          <t>.</t>
        </is>
      </c>
      <c r="F12" s="257" t="inlineStr">
        <is>
          <t>-</t>
        </is>
      </c>
      <c r="G12" s="246" t="inlineStr">
        <is>
          <t>No Requiere</t>
        </is>
      </c>
    </row>
    <row r="13">
      <c r="A13" s="121" t="inlineStr">
        <is>
          <t>AI-CO- NO2-SO2</t>
        </is>
      </c>
      <c r="B13" s="135" t="inlineStr">
        <is>
          <t>P.A</t>
        </is>
      </c>
      <c r="C13" s="13" t="inlineStr">
        <is>
          <t>120 mL</t>
        </is>
      </c>
      <c r="D13" s="1" t="inlineStr">
        <is>
          <t>No Requiere</t>
        </is>
      </c>
      <c r="E13" s="13" t="inlineStr">
        <is>
          <t>.</t>
        </is>
      </c>
      <c r="F13" s="257" t="inlineStr">
        <is>
          <t>-</t>
        </is>
      </c>
      <c r="G13" s="246" t="inlineStr">
        <is>
          <t>No Requiere</t>
        </is>
      </c>
    </row>
    <row r="14">
      <c r="A14" s="121" t="inlineStr">
        <is>
          <t>AI-CO- NO2-SO2- OZ</t>
        </is>
      </c>
      <c r="B14" s="135" t="inlineStr">
        <is>
          <t>P.A</t>
        </is>
      </c>
      <c r="C14" s="13" t="inlineStr">
        <is>
          <t>120 mL</t>
        </is>
      </c>
      <c r="D14" s="1" t="inlineStr">
        <is>
          <t>No Requiere</t>
        </is>
      </c>
      <c r="E14" s="13" t="inlineStr">
        <is>
          <t>.</t>
        </is>
      </c>
      <c r="F14" s="257" t="inlineStr">
        <is>
          <t>-</t>
        </is>
      </c>
      <c r="G14" s="246" t="inlineStr">
        <is>
          <t>No Requiere</t>
        </is>
      </c>
    </row>
    <row r="15">
      <c r="A15" s="121" t="inlineStr">
        <is>
          <t>AI-H2S</t>
        </is>
      </c>
      <c r="B15" s="135" t="inlineStr">
        <is>
          <t>P.A</t>
        </is>
      </c>
      <c r="C15" s="13" t="inlineStr">
        <is>
          <t>120 mL</t>
        </is>
      </c>
      <c r="D15" s="1" t="inlineStr">
        <is>
          <t>No Requiere</t>
        </is>
      </c>
      <c r="E15" s="13" t="inlineStr">
        <is>
          <t>.</t>
        </is>
      </c>
      <c r="F15" s="257" t="inlineStr">
        <is>
          <t>-</t>
        </is>
      </c>
      <c r="G15" s="246" t="inlineStr">
        <is>
          <t>No Requiere</t>
        </is>
      </c>
    </row>
    <row r="16">
      <c r="A16" s="121" t="inlineStr">
        <is>
          <t>AI-NO2</t>
        </is>
      </c>
      <c r="B16" s="135" t="inlineStr">
        <is>
          <t>P.A</t>
        </is>
      </c>
      <c r="C16" s="13" t="inlineStr">
        <is>
          <t>120 mL</t>
        </is>
      </c>
      <c r="D16" s="1" t="inlineStr">
        <is>
          <t>No Requiere</t>
        </is>
      </c>
      <c r="E16" s="13" t="inlineStr">
        <is>
          <t>.</t>
        </is>
      </c>
      <c r="F16" s="257" t="inlineStr">
        <is>
          <t>-</t>
        </is>
      </c>
      <c r="G16" s="246" t="inlineStr">
        <is>
          <t>No Requiere</t>
        </is>
      </c>
    </row>
    <row r="17">
      <c r="A17" s="121" t="inlineStr">
        <is>
          <t>AI-OZ</t>
        </is>
      </c>
      <c r="B17" s="135" t="inlineStr">
        <is>
          <t>P.A</t>
        </is>
      </c>
      <c r="C17" s="13" t="inlineStr">
        <is>
          <t>120 mL</t>
        </is>
      </c>
      <c r="D17" s="1" t="inlineStr">
        <is>
          <t>No Requiere</t>
        </is>
      </c>
      <c r="E17" s="13" t="inlineStr">
        <is>
          <t>.</t>
        </is>
      </c>
      <c r="F17" s="257" t="inlineStr">
        <is>
          <t>-</t>
        </is>
      </c>
      <c r="G17" s="246" t="inlineStr">
        <is>
          <t>No Requiere</t>
        </is>
      </c>
    </row>
    <row r="18">
      <c r="A18" s="121" t="inlineStr">
        <is>
          <t>AI-PM-10 - HI VOL</t>
        </is>
      </c>
      <c r="B18" s="135" t="inlineStr">
        <is>
          <t>F</t>
        </is>
      </c>
      <c r="C18" s="13" t="inlineStr">
        <is>
          <t>PM-10-H</t>
        </is>
      </c>
      <c r="D18" s="1" t="inlineStr">
        <is>
          <t>No Requiere</t>
        </is>
      </c>
      <c r="E18" s="13" t="inlineStr">
        <is>
          <t>.</t>
        </is>
      </c>
      <c r="F18" s="257" t="inlineStr">
        <is>
          <t>-</t>
        </is>
      </c>
      <c r="G18" s="246" t="inlineStr">
        <is>
          <t>No Requiere</t>
        </is>
      </c>
    </row>
    <row r="19">
      <c r="A19" s="121" t="inlineStr">
        <is>
          <t>AI-PM-10 - LOW VOL</t>
        </is>
      </c>
      <c r="B19" s="135" t="inlineStr">
        <is>
          <t>F</t>
        </is>
      </c>
      <c r="C19" s="13" t="inlineStr">
        <is>
          <t>PM-10-L</t>
        </is>
      </c>
      <c r="D19" s="1" t="inlineStr">
        <is>
          <t>No Requiere</t>
        </is>
      </c>
      <c r="E19" s="13" t="inlineStr">
        <is>
          <t>.</t>
        </is>
      </c>
      <c r="F19" s="257" t="inlineStr">
        <is>
          <t>-</t>
        </is>
      </c>
      <c r="G19" s="246" t="inlineStr">
        <is>
          <t>No Requiere</t>
        </is>
      </c>
    </row>
    <row r="20">
      <c r="A20" s="121" t="inlineStr">
        <is>
          <t>AI-PM-2.5 HI VOL</t>
        </is>
      </c>
      <c r="B20" s="135" t="inlineStr">
        <is>
          <t>F</t>
        </is>
      </c>
      <c r="C20" s="13" t="inlineStr">
        <is>
          <t>PM-2.5-H</t>
        </is>
      </c>
      <c r="D20" s="1" t="inlineStr">
        <is>
          <t>No Requiere</t>
        </is>
      </c>
      <c r="E20" s="13" t="inlineStr">
        <is>
          <t>.</t>
        </is>
      </c>
      <c r="F20" s="257" t="inlineStr">
        <is>
          <t>-</t>
        </is>
      </c>
      <c r="G20" s="246" t="inlineStr">
        <is>
          <t>No Requiere</t>
        </is>
      </c>
    </row>
    <row r="21">
      <c r="A21" s="121" t="inlineStr">
        <is>
          <t>AI-PM-2.5 LOW VOL</t>
        </is>
      </c>
      <c r="B21" s="135" t="inlineStr">
        <is>
          <t>F</t>
        </is>
      </c>
      <c r="C21" s="13" t="inlineStr">
        <is>
          <t>PM-2.5-L</t>
        </is>
      </c>
      <c r="D21" s="1" t="inlineStr">
        <is>
          <t>No Requiere</t>
        </is>
      </c>
      <c r="E21" s="13" t="inlineStr">
        <is>
          <t>.</t>
        </is>
      </c>
      <c r="F21" s="257" t="inlineStr">
        <is>
          <t>-</t>
        </is>
      </c>
      <c r="G21" s="246" t="inlineStr">
        <is>
          <t>No Requiere</t>
        </is>
      </c>
    </row>
    <row r="22">
      <c r="A22" s="121" t="inlineStr">
        <is>
          <t>AI-SO2</t>
        </is>
      </c>
      <c r="B22" s="135" t="inlineStr">
        <is>
          <t>P.A</t>
        </is>
      </c>
      <c r="C22" s="13" t="inlineStr">
        <is>
          <t>120 mL</t>
        </is>
      </c>
      <c r="D22" s="1" t="inlineStr">
        <is>
          <t>No Requiere</t>
        </is>
      </c>
      <c r="E22" s="13" t="inlineStr">
        <is>
          <t>.</t>
        </is>
      </c>
      <c r="F22" s="257" t="inlineStr">
        <is>
          <t>-</t>
        </is>
      </c>
      <c r="G22" s="246" t="inlineStr">
        <is>
          <t>No Requiere</t>
        </is>
      </c>
    </row>
    <row r="23">
      <c r="A23" s="121" t="inlineStr">
        <is>
          <t>ALCALINIDAD*</t>
        </is>
      </c>
      <c r="B23" s="135" t="inlineStr">
        <is>
          <t>P</t>
        </is>
      </c>
      <c r="C23" s="13" t="inlineStr">
        <is>
          <t>500 mL</t>
        </is>
      </c>
      <c r="D23" s="1" t="inlineStr">
        <is>
          <t>No requiere</t>
        </is>
      </c>
      <c r="E23" s="13" t="inlineStr">
        <is>
          <t>.</t>
        </is>
      </c>
      <c r="F23" s="254" t="n">
        <v>1</v>
      </c>
      <c r="G23" s="246" t="inlineStr">
        <is>
          <t>Frasco adicional</t>
        </is>
      </c>
    </row>
    <row r="24">
      <c r="A24" s="121" t="inlineStr">
        <is>
          <t>Aldicarb</t>
        </is>
      </c>
      <c r="B24" s="135" t="inlineStr">
        <is>
          <t>V.A</t>
        </is>
      </c>
      <c r="C24" s="13" t="inlineStr">
        <is>
          <t>200 mL</t>
        </is>
      </c>
      <c r="D24" s="3" t="inlineStr">
        <is>
          <t>No requiere</t>
        </is>
      </c>
      <c r="E24" s="13" t="inlineStr">
        <is>
          <t>.</t>
        </is>
      </c>
      <c r="F24" s="254" t="n">
        <v>3</v>
      </c>
      <c r="G24" s="246" t="inlineStr">
        <is>
          <t>Frascos adicionales</t>
        </is>
      </c>
    </row>
    <row r="25">
      <c r="A25" s="121" t="inlineStr">
        <is>
          <t>AMONIACO</t>
        </is>
      </c>
      <c r="B25" s="135" t="inlineStr">
        <is>
          <t>P</t>
        </is>
      </c>
      <c r="C25" s="13" t="inlineStr">
        <is>
          <t>1 Lt</t>
        </is>
      </c>
      <c r="D25" s="1" t="inlineStr">
        <is>
          <t>H2SO4 1:1</t>
        </is>
      </c>
      <c r="E25" s="13" t="inlineStr">
        <is>
          <t xml:space="preserve">60 (G*) </t>
        </is>
      </c>
      <c r="F25" s="257" t="inlineStr">
        <is>
          <t>-</t>
        </is>
      </c>
      <c r="G25" s="246" t="inlineStr">
        <is>
          <t>No Requiere</t>
        </is>
      </c>
    </row>
    <row r="26">
      <c r="A26" s="121" t="inlineStr">
        <is>
          <t>AMONIO (NITROGENO AMONIACAL)</t>
        </is>
      </c>
      <c r="B26" s="135" t="inlineStr">
        <is>
          <t>P</t>
        </is>
      </c>
      <c r="C26" s="13" t="inlineStr">
        <is>
          <t>120 mL</t>
        </is>
      </c>
      <c r="D26" s="3" t="inlineStr">
        <is>
          <t>H2SO4 1:1</t>
        </is>
      </c>
      <c r="E26" s="13" t="inlineStr">
        <is>
          <t xml:space="preserve">10 (G*) </t>
        </is>
      </c>
      <c r="F26" s="254" t="n">
        <v>1</v>
      </c>
      <c r="G26" s="246" t="inlineStr">
        <is>
          <t>Frasco de 500 ml adicional</t>
        </is>
      </c>
    </row>
    <row r="27">
      <c r="A27" s="121" t="inlineStr">
        <is>
          <t>BACTERIAS HETEROTROFAS*</t>
        </is>
      </c>
      <c r="B27" s="135" t="inlineStr">
        <is>
          <t>P.E</t>
        </is>
      </c>
      <c r="C27" s="14" t="inlineStr">
        <is>
          <t>120 mL</t>
        </is>
      </c>
      <c r="D27" s="1" t="inlineStr">
        <is>
          <t>No requiere</t>
        </is>
      </c>
      <c r="E27" s="13" t="inlineStr">
        <is>
          <t>.</t>
        </is>
      </c>
      <c r="F27" s="257" t="inlineStr">
        <is>
          <t>-</t>
        </is>
      </c>
      <c r="G27" s="248" t="inlineStr">
        <is>
          <t>No Requiere</t>
        </is>
      </c>
    </row>
    <row r="28">
      <c r="A28" s="121" t="inlineStr">
        <is>
          <t>BET´X</t>
        </is>
      </c>
      <c r="B28" s="135" t="inlineStr">
        <is>
          <t>Vial Ambar</t>
        </is>
      </c>
      <c r="C28" s="13" t="inlineStr">
        <is>
          <t>40 mL</t>
        </is>
      </c>
      <c r="D28" s="1" t="inlineStr">
        <is>
          <t>Llenar a tope Sin aire</t>
        </is>
      </c>
      <c r="E28" s="13" t="inlineStr">
        <is>
          <t>.</t>
        </is>
      </c>
      <c r="F28" s="254" t="n">
        <v>3</v>
      </c>
      <c r="G28" s="246" t="inlineStr">
        <is>
          <t>viales adicionales</t>
        </is>
      </c>
    </row>
    <row r="29">
      <c r="A29" s="121" t="inlineStr">
        <is>
          <t>BORO</t>
        </is>
      </c>
      <c r="B29" s="135" t="inlineStr">
        <is>
          <t>P</t>
        </is>
      </c>
      <c r="C29" s="13" t="inlineStr">
        <is>
          <t>1 Lt</t>
        </is>
      </c>
      <c r="D29" s="1" t="inlineStr">
        <is>
          <t>No Requiere</t>
        </is>
      </c>
      <c r="E29" s="13" t="inlineStr">
        <is>
          <t>.</t>
        </is>
      </c>
      <c r="F29" s="257" t="inlineStr">
        <is>
          <t>-</t>
        </is>
      </c>
      <c r="G29" s="248" t="inlineStr">
        <is>
          <t>No requiere</t>
        </is>
      </c>
    </row>
    <row r="30">
      <c r="A30" s="122" t="inlineStr">
        <is>
          <t>POTASIO - SODIO</t>
        </is>
      </c>
      <c r="B30" s="135" t="inlineStr">
        <is>
          <t>P</t>
        </is>
      </c>
      <c r="C30" s="14" t="inlineStr">
        <is>
          <t>120 mL</t>
        </is>
      </c>
      <c r="D30" s="1" t="inlineStr">
        <is>
          <t>No Requiere</t>
        </is>
      </c>
      <c r="E30" s="13" t="inlineStr">
        <is>
          <t>.</t>
        </is>
      </c>
      <c r="F30" s="257" t="inlineStr">
        <is>
          <t>-</t>
        </is>
      </c>
      <c r="G30" s="247" t="inlineStr">
        <is>
          <t>No Requiere</t>
        </is>
      </c>
    </row>
    <row r="31">
      <c r="A31" s="122" t="inlineStr">
        <is>
          <t>CALCIO - MAGNESIO - POTASIO - SODIO</t>
        </is>
      </c>
      <c r="B31" s="135" t="inlineStr">
        <is>
          <t>P</t>
        </is>
      </c>
      <c r="C31" s="14" t="inlineStr">
        <is>
          <t>120 mL</t>
        </is>
      </c>
      <c r="D31" s="1" t="inlineStr">
        <is>
          <t>No Requiere</t>
        </is>
      </c>
      <c r="E31" s="13" t="inlineStr">
        <is>
          <t>.</t>
        </is>
      </c>
      <c r="F31" s="257" t="inlineStr">
        <is>
          <t>-</t>
        </is>
      </c>
      <c r="G31" s="247" t="inlineStr">
        <is>
          <t>No Requiere</t>
        </is>
      </c>
    </row>
    <row r="32">
      <c r="A32" s="121" t="inlineStr">
        <is>
          <t>CIANURO TOTAL</t>
        </is>
      </c>
      <c r="B32" s="135" t="inlineStr">
        <is>
          <t>P.A</t>
        </is>
      </c>
      <c r="C32" s="13" t="inlineStr">
        <is>
          <t>1 Lt</t>
        </is>
      </c>
      <c r="D32" s="1" t="inlineStr">
        <is>
          <t>NaOH 6N</t>
        </is>
      </c>
      <c r="E32" s="14" t="inlineStr">
        <is>
          <t xml:space="preserve">100 (G*) </t>
        </is>
      </c>
      <c r="F32" s="257" t="n">
        <v>1</v>
      </c>
      <c r="G32" s="246" t="inlineStr">
        <is>
          <t>No Requiere</t>
        </is>
      </c>
    </row>
    <row r="33">
      <c r="A33" s="121" t="inlineStr">
        <is>
          <t>Cloramina</t>
        </is>
      </c>
      <c r="B33" s="135" t="inlineStr">
        <is>
          <t>P</t>
        </is>
      </c>
      <c r="C33" s="13" t="inlineStr">
        <is>
          <t>120 mL</t>
        </is>
      </c>
      <c r="D33" s="1" t="inlineStr">
        <is>
          <t>No Requiere</t>
        </is>
      </c>
      <c r="E33" s="13" t="inlineStr">
        <is>
          <t>.</t>
        </is>
      </c>
      <c r="F33" s="257" t="inlineStr">
        <is>
          <t>-</t>
        </is>
      </c>
      <c r="G33" s="246" t="inlineStr">
        <is>
          <t>No Requiere</t>
        </is>
      </c>
    </row>
    <row r="34">
      <c r="A34" s="122" t="inlineStr">
        <is>
          <t>CLORATO</t>
        </is>
      </c>
      <c r="B34" s="134" t="inlineStr">
        <is>
          <t>P</t>
        </is>
      </c>
      <c r="C34" s="14" t="inlineStr">
        <is>
          <t>120 mL</t>
        </is>
      </c>
      <c r="D34" s="3" t="inlineStr">
        <is>
          <t>No Requiere</t>
        </is>
      </c>
      <c r="E34" s="14" t="inlineStr">
        <is>
          <t>.</t>
        </is>
      </c>
      <c r="F34" s="257" t="inlineStr">
        <is>
          <t>-</t>
        </is>
      </c>
      <c r="G34" s="247" t="inlineStr">
        <is>
          <t>No Requiere</t>
        </is>
      </c>
    </row>
    <row r="35">
      <c r="A35" s="122" t="inlineStr">
        <is>
          <t>CLORITO</t>
        </is>
      </c>
      <c r="B35" s="134" t="inlineStr">
        <is>
          <t>P</t>
        </is>
      </c>
      <c r="C35" s="14" t="inlineStr">
        <is>
          <t>120 mL</t>
        </is>
      </c>
      <c r="D35" s="3" t="inlineStr">
        <is>
          <t>No Requiere</t>
        </is>
      </c>
      <c r="E35" s="14" t="inlineStr">
        <is>
          <t>.</t>
        </is>
      </c>
      <c r="F35" s="257" t="inlineStr">
        <is>
          <t>-</t>
        </is>
      </c>
      <c r="G35" s="247" t="inlineStr">
        <is>
          <t>No Requiere</t>
        </is>
      </c>
    </row>
    <row r="36">
      <c r="A36" s="122" t="inlineStr">
        <is>
          <t xml:space="preserve">CLORITO - CLORATO </t>
        </is>
      </c>
      <c r="B36" s="135" t="inlineStr">
        <is>
          <t>P</t>
        </is>
      </c>
      <c r="C36" s="14" t="inlineStr">
        <is>
          <t>120 mL</t>
        </is>
      </c>
      <c r="D36" s="4" t="inlineStr">
        <is>
          <t>Etilendiamina</t>
        </is>
      </c>
      <c r="E36" s="13" t="inlineStr">
        <is>
          <t xml:space="preserve">4 (G*) </t>
        </is>
      </c>
      <c r="F36" s="257" t="inlineStr">
        <is>
          <t>-</t>
        </is>
      </c>
      <c r="G36" s="249" t="inlineStr">
        <is>
          <t>No requiere</t>
        </is>
      </c>
    </row>
    <row r="37">
      <c r="A37" s="121" t="inlineStr">
        <is>
          <t>CLORITO - CLORATO - NITRATOS - NITRITOS - BROMATOS</t>
        </is>
      </c>
      <c r="B37" s="135" t="inlineStr">
        <is>
          <t>P</t>
        </is>
      </c>
      <c r="C37" s="13" t="inlineStr">
        <is>
          <t>1 Lt</t>
        </is>
      </c>
      <c r="D37" s="1" t="inlineStr">
        <is>
          <t>No Requiere</t>
        </is>
      </c>
      <c r="E37" s="13" t="inlineStr">
        <is>
          <t>.</t>
        </is>
      </c>
      <c r="F37" s="257" t="inlineStr">
        <is>
          <t>-</t>
        </is>
      </c>
      <c r="G37" s="246" t="inlineStr">
        <is>
          <t>No Requiere</t>
        </is>
      </c>
    </row>
    <row r="38">
      <c r="A38" s="121" t="inlineStr">
        <is>
          <t>CLORITO - CLORATO Y BROMATOS</t>
        </is>
      </c>
      <c r="B38" s="135" t="inlineStr">
        <is>
          <t>P</t>
        </is>
      </c>
      <c r="C38" s="13" t="inlineStr">
        <is>
          <t>120 mL</t>
        </is>
      </c>
      <c r="D38" s="1" t="inlineStr">
        <is>
          <t>No Requiere</t>
        </is>
      </c>
      <c r="E38" s="13" t="inlineStr">
        <is>
          <t>.</t>
        </is>
      </c>
      <c r="F38" s="257" t="inlineStr">
        <is>
          <t>-</t>
        </is>
      </c>
      <c r="G38" s="246" t="inlineStr">
        <is>
          <t>No Requiere</t>
        </is>
      </c>
    </row>
    <row r="39">
      <c r="A39" s="121" t="inlineStr">
        <is>
          <t>CLORO LIBRE</t>
        </is>
      </c>
      <c r="B39" s="135" t="inlineStr">
        <is>
          <t>P</t>
        </is>
      </c>
      <c r="C39" s="13" t="inlineStr">
        <is>
          <t>120 mL</t>
        </is>
      </c>
      <c r="D39" s="1" t="inlineStr">
        <is>
          <t>No Requiere</t>
        </is>
      </c>
      <c r="E39" s="13" t="inlineStr">
        <is>
          <t>.</t>
        </is>
      </c>
      <c r="F39" s="257" t="inlineStr">
        <is>
          <t>-</t>
        </is>
      </c>
      <c r="G39" s="246" t="inlineStr">
        <is>
          <t>No Requiere</t>
        </is>
      </c>
    </row>
    <row r="40" customFormat="1" s="210">
      <c r="A40" s="120" t="inlineStr">
        <is>
          <t>CLORO TOTAL</t>
        </is>
      </c>
      <c r="B40" s="132" t="inlineStr">
        <is>
          <t>P</t>
        </is>
      </c>
      <c r="C40" s="117" t="inlineStr">
        <is>
          <t>120 mL</t>
        </is>
      </c>
      <c r="D40" s="118" t="inlineStr">
        <is>
          <t>No Requiere</t>
        </is>
      </c>
      <c r="E40" s="117" t="inlineStr">
        <is>
          <t>.</t>
        </is>
      </c>
      <c r="F40" s="257" t="inlineStr">
        <is>
          <t>-</t>
        </is>
      </c>
      <c r="G40" s="216" t="inlineStr">
        <is>
          <t>No Requiere</t>
        </is>
      </c>
    </row>
    <row r="41">
      <c r="A41" s="121" t="inlineStr">
        <is>
          <t>CLORO LIBRE - CONDUCTIVIDAD</t>
        </is>
      </c>
      <c r="B41" s="135" t="inlineStr">
        <is>
          <t>P</t>
        </is>
      </c>
      <c r="C41" s="13" t="inlineStr">
        <is>
          <t>120 mL</t>
        </is>
      </c>
      <c r="D41" s="1" t="inlineStr">
        <is>
          <t>No Requiere</t>
        </is>
      </c>
      <c r="E41" s="13" t="inlineStr">
        <is>
          <t>.</t>
        </is>
      </c>
      <c r="F41" s="257" t="inlineStr">
        <is>
          <t>-</t>
        </is>
      </c>
      <c r="G41" s="246" t="inlineStr">
        <is>
          <t>No Requiere</t>
        </is>
      </c>
    </row>
    <row r="42">
      <c r="A42" s="121" t="inlineStr">
        <is>
          <t>CLORO LIBRE (CAMPO)</t>
        </is>
      </c>
      <c r="B42" s="135" t="inlineStr">
        <is>
          <t>-</t>
        </is>
      </c>
      <c r="C42" s="13" t="inlineStr">
        <is>
          <t>Campo</t>
        </is>
      </c>
      <c r="D42" s="1" t="inlineStr">
        <is>
          <t>Campo</t>
        </is>
      </c>
      <c r="E42" s="13" t="inlineStr">
        <is>
          <t>.</t>
        </is>
      </c>
      <c r="F42" s="257" t="inlineStr">
        <is>
          <t>-</t>
        </is>
      </c>
      <c r="G42" s="246" t="inlineStr">
        <is>
          <t>No Requiere</t>
        </is>
      </c>
    </row>
    <row r="43">
      <c r="A43" s="121" t="inlineStr">
        <is>
          <t>CLORUROS - SULFATOS* - TURBIEDAD</t>
        </is>
      </c>
      <c r="B43" s="135" t="inlineStr">
        <is>
          <t>P</t>
        </is>
      </c>
      <c r="C43" s="13" t="inlineStr">
        <is>
          <t>1 Lt</t>
        </is>
      </c>
      <c r="D43" s="1" t="inlineStr">
        <is>
          <t>No Requiere</t>
        </is>
      </c>
      <c r="E43" s="13" t="inlineStr">
        <is>
          <t>.</t>
        </is>
      </c>
      <c r="F43" s="257" t="inlineStr">
        <is>
          <t>-</t>
        </is>
      </c>
      <c r="G43" s="246" t="inlineStr">
        <is>
          <t>No Requiere</t>
        </is>
      </c>
    </row>
    <row r="44">
      <c r="A44" s="121" t="inlineStr">
        <is>
          <t>CLORUROS - SULFATOS* - FLUOR</t>
        </is>
      </c>
      <c r="B44" s="135" t="inlineStr">
        <is>
          <t>P</t>
        </is>
      </c>
      <c r="C44" s="13" t="inlineStr">
        <is>
          <t>1 Lt</t>
        </is>
      </c>
      <c r="D44" s="1" t="inlineStr">
        <is>
          <t>No Requiere</t>
        </is>
      </c>
      <c r="E44" s="13" t="inlineStr">
        <is>
          <t>.</t>
        </is>
      </c>
      <c r="F44" s="257" t="inlineStr">
        <is>
          <t>-</t>
        </is>
      </c>
      <c r="G44" s="246" t="inlineStr">
        <is>
          <t>No Requiere</t>
        </is>
      </c>
    </row>
    <row r="45">
      <c r="A45" s="121" t="inlineStr">
        <is>
          <t>CLORUROS*</t>
        </is>
      </c>
      <c r="B45" s="135" t="inlineStr">
        <is>
          <t>P</t>
        </is>
      </c>
      <c r="C45" s="13" t="inlineStr">
        <is>
          <t>500 mL</t>
        </is>
      </c>
      <c r="D45" s="1" t="inlineStr">
        <is>
          <t>No Requiere</t>
        </is>
      </c>
      <c r="E45" s="13" t="inlineStr">
        <is>
          <t>.</t>
        </is>
      </c>
      <c r="F45" s="257" t="inlineStr">
        <is>
          <t>-</t>
        </is>
      </c>
      <c r="G45" s="246" t="inlineStr">
        <is>
          <t>No Requiere</t>
        </is>
      </c>
    </row>
    <row r="46">
      <c r="A46" s="121" t="inlineStr">
        <is>
          <t>CLORUROS* - SULFATOS*</t>
        </is>
      </c>
      <c r="B46" s="135" t="inlineStr">
        <is>
          <t>P</t>
        </is>
      </c>
      <c r="C46" s="13" t="inlineStr">
        <is>
          <t>1 Lt</t>
        </is>
      </c>
      <c r="D46" s="1" t="inlineStr">
        <is>
          <t>No Requiere</t>
        </is>
      </c>
      <c r="E46" s="13" t="inlineStr">
        <is>
          <t>.</t>
        </is>
      </c>
      <c r="F46" s="257" t="inlineStr">
        <is>
          <t>-</t>
        </is>
      </c>
      <c r="G46" s="246" t="inlineStr">
        <is>
          <t>No Requiere</t>
        </is>
      </c>
    </row>
    <row r="47">
      <c r="A47" s="121" t="inlineStr">
        <is>
          <t>CLORUROS* - SULFATOS* - NITRATO - NITRITO</t>
        </is>
      </c>
      <c r="B47" s="135" t="inlineStr">
        <is>
          <t>P</t>
        </is>
      </c>
      <c r="C47" s="13" t="inlineStr">
        <is>
          <t>1 Lt</t>
        </is>
      </c>
      <c r="D47" s="1" t="inlineStr">
        <is>
          <t>No Requiere</t>
        </is>
      </c>
      <c r="E47" s="13" t="inlineStr">
        <is>
          <t>.</t>
        </is>
      </c>
      <c r="F47" s="257" t="inlineStr">
        <is>
          <t>-</t>
        </is>
      </c>
      <c r="G47" s="248" t="inlineStr">
        <is>
          <t>No requiere</t>
        </is>
      </c>
    </row>
    <row r="48">
      <c r="A48" s="121" t="inlineStr">
        <is>
          <t>CN- TOTAL* (CIANURO TOTAL)</t>
        </is>
      </c>
      <c r="B48" s="135" t="inlineStr">
        <is>
          <t>P.A</t>
        </is>
      </c>
      <c r="C48" s="13" t="inlineStr">
        <is>
          <t>1 Lt</t>
        </is>
      </c>
      <c r="D48" s="1" t="inlineStr">
        <is>
          <t>NaOH 6N</t>
        </is>
      </c>
      <c r="E48" s="13" t="inlineStr">
        <is>
          <t xml:space="preserve">100 (G*) </t>
        </is>
      </c>
      <c r="F48" s="254" t="n">
        <v>1</v>
      </c>
      <c r="G48" s="246" t="inlineStr">
        <is>
          <t>Frasco adicional</t>
        </is>
      </c>
    </row>
    <row r="49">
      <c r="A49" s="121" t="inlineStr">
        <is>
          <t>CN WAD (CIANURO WAD)</t>
        </is>
      </c>
      <c r="B49" s="135" t="inlineStr">
        <is>
          <t>P.A</t>
        </is>
      </c>
      <c r="C49" s="13" t="inlineStr">
        <is>
          <t>1 Lt</t>
        </is>
      </c>
      <c r="D49" s="1" t="inlineStr">
        <is>
          <t>NaOH 6N</t>
        </is>
      </c>
      <c r="E49" s="13" t="inlineStr">
        <is>
          <t xml:space="preserve">100 (G*) </t>
        </is>
      </c>
      <c r="F49" s="254" t="n">
        <v>1</v>
      </c>
      <c r="G49" s="246" t="inlineStr">
        <is>
          <t>Frasco adicional</t>
        </is>
      </c>
    </row>
    <row r="50">
      <c r="A50" s="121" t="inlineStr">
        <is>
          <t>CN-L (CIANURO LIBRE)</t>
        </is>
      </c>
      <c r="B50" s="135" t="inlineStr">
        <is>
          <t>P</t>
        </is>
      </c>
      <c r="C50" s="13" t="inlineStr">
        <is>
          <t>500 mL</t>
        </is>
      </c>
      <c r="D50" s="1" t="inlineStr">
        <is>
          <t>No requiere</t>
        </is>
      </c>
      <c r="E50" s="13" t="inlineStr">
        <is>
          <t>.</t>
        </is>
      </c>
      <c r="F50" s="257" t="inlineStr">
        <is>
          <t>-</t>
        </is>
      </c>
      <c r="G50" s="246" t="inlineStr">
        <is>
          <t>No Requiere</t>
        </is>
      </c>
    </row>
    <row r="51">
      <c r="A51" s="121" t="inlineStr">
        <is>
          <t>COLIF.FECALES*/TOTALES* - BACT.HETEROTROFAS*</t>
        </is>
      </c>
      <c r="B51" s="135" t="inlineStr">
        <is>
          <t>P.E</t>
        </is>
      </c>
      <c r="C51" s="13" t="inlineStr">
        <is>
          <t>500 mL</t>
        </is>
      </c>
      <c r="D51" s="1" t="inlineStr">
        <is>
          <t>TIO</t>
        </is>
      </c>
      <c r="E51" s="13" t="inlineStr">
        <is>
          <t>.</t>
        </is>
      </c>
      <c r="F51" s="254" t="n">
        <v>1</v>
      </c>
      <c r="G51" s="246" t="inlineStr">
        <is>
          <t>Frasco Esteril adicional</t>
        </is>
      </c>
    </row>
    <row r="52">
      <c r="A52" s="123" t="inlineStr">
        <is>
          <t>COLIF.FECALES*/TOTALES* - E.COLI* - BACT.HETEROTROFAS*</t>
        </is>
      </c>
      <c r="B52" s="135" t="inlineStr">
        <is>
          <t>P.E</t>
        </is>
      </c>
      <c r="C52" s="13" t="inlineStr">
        <is>
          <t>500 mL</t>
        </is>
      </c>
      <c r="D52" s="1" t="inlineStr">
        <is>
          <t>TIO</t>
        </is>
      </c>
      <c r="E52" s="13" t="inlineStr">
        <is>
          <t>.</t>
        </is>
      </c>
      <c r="F52" s="254" t="n">
        <v>1</v>
      </c>
      <c r="G52" s="246" t="inlineStr">
        <is>
          <t>Frasco Esteril adicional</t>
        </is>
      </c>
    </row>
    <row r="53">
      <c r="A53" s="121" t="inlineStr">
        <is>
          <t>COLIF.FECALES*/TOTALES* - E.COLI* - BACT.HETEROTROFAS* - VIRUS</t>
        </is>
      </c>
      <c r="B53" s="135" t="inlineStr">
        <is>
          <t>P.E</t>
        </is>
      </c>
      <c r="C53" s="13" t="inlineStr">
        <is>
          <t>500 mL</t>
        </is>
      </c>
      <c r="D53" s="1" t="inlineStr">
        <is>
          <t>TIO</t>
        </is>
      </c>
      <c r="E53" s="13" t="inlineStr">
        <is>
          <t>.</t>
        </is>
      </c>
      <c r="F53" s="254" t="n">
        <v>1</v>
      </c>
      <c r="G53" s="246" t="inlineStr">
        <is>
          <t>Frasco Esteril adicional</t>
        </is>
      </c>
    </row>
    <row r="54">
      <c r="A54" s="124" t="inlineStr">
        <is>
          <t xml:space="preserve">COLIF.TOTALES / FECALES </t>
        </is>
      </c>
      <c r="B54" s="135" t="inlineStr">
        <is>
          <t>V.E</t>
        </is>
      </c>
      <c r="C54" s="13" t="inlineStr">
        <is>
          <t>500 mL</t>
        </is>
      </c>
      <c r="D54" s="1" t="inlineStr">
        <is>
          <t>TIO</t>
        </is>
      </c>
      <c r="E54" s="13" t="inlineStr">
        <is>
          <t>.</t>
        </is>
      </c>
      <c r="F54" s="254" t="n">
        <v>1</v>
      </c>
      <c r="G54" s="246" t="inlineStr">
        <is>
          <t>Frasco Esteril adicional</t>
        </is>
      </c>
    </row>
    <row r="55">
      <c r="A55" s="121" t="inlineStr">
        <is>
          <t>COLIF.TOTALES / FECALES - E.COLI</t>
        </is>
      </c>
      <c r="B55" s="135" t="inlineStr">
        <is>
          <t>V.E</t>
        </is>
      </c>
      <c r="C55" s="13" t="inlineStr">
        <is>
          <t>500 mL</t>
        </is>
      </c>
      <c r="D55" s="1" t="inlineStr">
        <is>
          <t>TIO</t>
        </is>
      </c>
      <c r="E55" s="13" t="inlineStr">
        <is>
          <t>.</t>
        </is>
      </c>
      <c r="F55" s="254" t="n">
        <v>1</v>
      </c>
      <c r="G55" s="246" t="inlineStr">
        <is>
          <t>Frasco Esteril adicional</t>
        </is>
      </c>
    </row>
    <row r="56">
      <c r="A56" s="121" t="inlineStr">
        <is>
          <t>COLIFORMES FECALES(SED)</t>
        </is>
      </c>
      <c r="B56" s="135" t="inlineStr">
        <is>
          <t>POTE</t>
        </is>
      </c>
      <c r="C56" s="13" t="inlineStr">
        <is>
          <t>1 Kg</t>
        </is>
      </c>
      <c r="D56" s="1" t="inlineStr">
        <is>
          <t>No Requiere</t>
        </is>
      </c>
      <c r="E56" s="13" t="inlineStr">
        <is>
          <t>.</t>
        </is>
      </c>
      <c r="F56" s="257" t="inlineStr">
        <is>
          <t>-</t>
        </is>
      </c>
      <c r="G56" s="246" t="inlineStr">
        <is>
          <t>No Requiere</t>
        </is>
      </c>
    </row>
    <row r="57">
      <c r="A57" s="121" t="inlineStr">
        <is>
          <t>COLIFORMES FECALES*-TOTALES*</t>
        </is>
      </c>
      <c r="B57" s="135" t="inlineStr">
        <is>
          <t>V.E</t>
        </is>
      </c>
      <c r="C57" s="13" t="inlineStr">
        <is>
          <t>500 mL</t>
        </is>
      </c>
      <c r="D57" s="1" t="inlineStr">
        <is>
          <t>TIO</t>
        </is>
      </c>
      <c r="E57" s="13" t="inlineStr">
        <is>
          <t>.</t>
        </is>
      </c>
      <c r="F57" s="254" t="n">
        <v>1</v>
      </c>
      <c r="G57" s="246" t="inlineStr">
        <is>
          <t>Frasco Esteril adicional</t>
        </is>
      </c>
    </row>
    <row r="58">
      <c r="A58" s="123" t="inlineStr">
        <is>
          <t>COLIFORMES FECALES* - BACT.HETEROTROFAS*</t>
        </is>
      </c>
      <c r="B58" s="135" t="inlineStr">
        <is>
          <t>V.E</t>
        </is>
      </c>
      <c r="C58" s="13" t="inlineStr">
        <is>
          <t>500 mL</t>
        </is>
      </c>
      <c r="D58" s="1" t="inlineStr">
        <is>
          <t>TIO</t>
        </is>
      </c>
      <c r="E58" s="13" t="inlineStr">
        <is>
          <t>.</t>
        </is>
      </c>
      <c r="F58" s="254" t="n">
        <v>1</v>
      </c>
      <c r="G58" s="246" t="inlineStr">
        <is>
          <t>Frasco Esteril adicional</t>
        </is>
      </c>
    </row>
    <row r="59">
      <c r="A59" s="121" t="inlineStr">
        <is>
          <t>Coliformes Totales - Pseudomonas</t>
        </is>
      </c>
      <c r="B59" s="135" t="inlineStr">
        <is>
          <t>P.E</t>
        </is>
      </c>
      <c r="C59" s="13" t="inlineStr">
        <is>
          <t>120 mL</t>
        </is>
      </c>
      <c r="D59" s="1" t="inlineStr">
        <is>
          <t>TIO</t>
        </is>
      </c>
      <c r="E59" s="13" t="inlineStr">
        <is>
          <t>.</t>
        </is>
      </c>
      <c r="F59" s="257" t="inlineStr">
        <is>
          <t>-</t>
        </is>
      </c>
      <c r="G59" s="246" t="inlineStr">
        <is>
          <t>No requiere</t>
        </is>
      </c>
    </row>
    <row r="60">
      <c r="A60" s="121" t="inlineStr">
        <is>
          <t>COLIFORMES TOTALES(SED)</t>
        </is>
      </c>
      <c r="B60" s="135" t="inlineStr">
        <is>
          <t>POTE</t>
        </is>
      </c>
      <c r="C60" s="13" t="inlineStr">
        <is>
          <t>1 Kg</t>
        </is>
      </c>
      <c r="D60" s="1" t="inlineStr">
        <is>
          <t>No Requiere</t>
        </is>
      </c>
      <c r="E60" s="13" t="inlineStr">
        <is>
          <t>.</t>
        </is>
      </c>
      <c r="F60" s="257" t="inlineStr">
        <is>
          <t>-</t>
        </is>
      </c>
      <c r="G60" s="246" t="inlineStr">
        <is>
          <t>No Requiere</t>
        </is>
      </c>
    </row>
    <row r="61">
      <c r="A61" s="121" t="inlineStr">
        <is>
          <t>COLIFORMES TOTALES*</t>
        </is>
      </c>
      <c r="B61" s="135" t="inlineStr">
        <is>
          <t>P.E</t>
        </is>
      </c>
      <c r="C61" s="13" t="inlineStr">
        <is>
          <t>500 mL</t>
        </is>
      </c>
      <c r="D61" s="1" t="inlineStr">
        <is>
          <t>TIO</t>
        </is>
      </c>
      <c r="E61" s="13" t="inlineStr">
        <is>
          <t>.</t>
        </is>
      </c>
      <c r="F61" s="257" t="inlineStr">
        <is>
          <t>-</t>
        </is>
      </c>
      <c r="G61" s="246" t="inlineStr">
        <is>
          <t>No Requiere</t>
        </is>
      </c>
    </row>
    <row r="62">
      <c r="A62" s="123" t="inlineStr">
        <is>
          <t>COLIFORMES TOTALES* - BACT.HETEROTROFAS*</t>
        </is>
      </c>
      <c r="B62" s="135" t="inlineStr">
        <is>
          <t>P.E</t>
        </is>
      </c>
      <c r="C62" s="13" t="inlineStr">
        <is>
          <t>500 mL</t>
        </is>
      </c>
      <c r="D62" s="1" t="inlineStr">
        <is>
          <t>TIO</t>
        </is>
      </c>
      <c r="E62" s="13" t="inlineStr">
        <is>
          <t>.</t>
        </is>
      </c>
      <c r="F62" s="254" t="n">
        <v>1</v>
      </c>
      <c r="G62" s="246" t="inlineStr">
        <is>
          <t>Frasco Esteril adicional</t>
        </is>
      </c>
    </row>
    <row r="63">
      <c r="A63" s="121" t="inlineStr">
        <is>
          <t>Coliformes Totales/Fecales- Bacterias- E.coli</t>
        </is>
      </c>
      <c r="B63" s="135" t="inlineStr">
        <is>
          <t>P.E</t>
        </is>
      </c>
      <c r="C63" s="13" t="inlineStr">
        <is>
          <t>120 mL</t>
        </is>
      </c>
      <c r="D63" s="1" t="inlineStr">
        <is>
          <t>TIO</t>
        </is>
      </c>
      <c r="E63" s="13" t="inlineStr">
        <is>
          <t>.</t>
        </is>
      </c>
      <c r="F63" s="257" t="inlineStr">
        <is>
          <t>-</t>
        </is>
      </c>
      <c r="G63" s="246" t="inlineStr">
        <is>
          <t>No requiere</t>
        </is>
      </c>
    </row>
    <row r="64">
      <c r="A64" s="123" t="inlineStr">
        <is>
          <t>Coliformes Totales/Fecales- Bacterias- E.coli- Pseudomonas</t>
        </is>
      </c>
      <c r="B64" s="135" t="inlineStr">
        <is>
          <t>P.E</t>
        </is>
      </c>
      <c r="C64" s="13" t="inlineStr">
        <is>
          <t>120 mL</t>
        </is>
      </c>
      <c r="D64" s="1" t="inlineStr">
        <is>
          <t>TIO</t>
        </is>
      </c>
      <c r="E64" s="13" t="inlineStr">
        <is>
          <t>.</t>
        </is>
      </c>
      <c r="F64" s="257" t="inlineStr">
        <is>
          <t>-</t>
        </is>
      </c>
      <c r="G64" s="246" t="inlineStr">
        <is>
          <t>No requiere</t>
        </is>
      </c>
    </row>
    <row r="65">
      <c r="A65" s="121" t="inlineStr">
        <is>
          <t>COLOR</t>
        </is>
      </c>
      <c r="B65" s="135" t="inlineStr">
        <is>
          <t>P.A</t>
        </is>
      </c>
      <c r="C65" s="13" t="inlineStr">
        <is>
          <t>120 mL</t>
        </is>
      </c>
      <c r="D65" s="1" t="inlineStr">
        <is>
          <t>No Requiere</t>
        </is>
      </c>
      <c r="E65" s="13" t="inlineStr">
        <is>
          <t>.</t>
        </is>
      </c>
      <c r="F65" s="257" t="inlineStr">
        <is>
          <t>-</t>
        </is>
      </c>
      <c r="G65" s="246" t="inlineStr">
        <is>
          <t>No Requiere</t>
        </is>
      </c>
    </row>
    <row r="66">
      <c r="A66" s="121" t="inlineStr">
        <is>
          <t>COLOR - OLOR - SABOR</t>
        </is>
      </c>
      <c r="B66" s="135" t="inlineStr">
        <is>
          <t>P</t>
        </is>
      </c>
      <c r="C66" s="13" t="inlineStr">
        <is>
          <t>500 mL</t>
        </is>
      </c>
      <c r="D66" s="1" t="inlineStr">
        <is>
          <t>No Requiere</t>
        </is>
      </c>
      <c r="E66" s="13" t="inlineStr">
        <is>
          <t>.</t>
        </is>
      </c>
      <c r="F66" s="257" t="inlineStr">
        <is>
          <t>-</t>
        </is>
      </c>
      <c r="G66" s="246" t="inlineStr">
        <is>
          <t>No Requiere</t>
        </is>
      </c>
    </row>
    <row r="67">
      <c r="A67" s="121" t="inlineStr">
        <is>
          <t>COLOR VERDADERO</t>
        </is>
      </c>
      <c r="B67" s="135" t="inlineStr">
        <is>
          <t>P.A</t>
        </is>
      </c>
      <c r="C67" s="13" t="inlineStr">
        <is>
          <t>500 mL</t>
        </is>
      </c>
      <c r="D67" s="1" t="inlineStr">
        <is>
          <t>No Requiere</t>
        </is>
      </c>
      <c r="E67" s="13" t="inlineStr">
        <is>
          <t>.</t>
        </is>
      </c>
      <c r="F67" s="257" t="inlineStr">
        <is>
          <t>-</t>
        </is>
      </c>
      <c r="G67" s="246" t="inlineStr">
        <is>
          <t>No Requiere</t>
        </is>
      </c>
    </row>
    <row r="68">
      <c r="A68" s="121" t="inlineStr">
        <is>
          <t>CONDUCTIVIDAD*</t>
        </is>
      </c>
      <c r="B68" s="135" t="inlineStr">
        <is>
          <t>P</t>
        </is>
      </c>
      <c r="C68" s="13" t="inlineStr">
        <is>
          <t>250 mL</t>
        </is>
      </c>
      <c r="D68" s="1" t="inlineStr">
        <is>
          <t>Analizar inmediatamente</t>
        </is>
      </c>
      <c r="E68" s="13" t="inlineStr">
        <is>
          <t>.</t>
        </is>
      </c>
      <c r="F68" s="257" t="inlineStr">
        <is>
          <t>-</t>
        </is>
      </c>
      <c r="G68" s="246" t="inlineStr">
        <is>
          <t>No Requiere</t>
        </is>
      </c>
    </row>
    <row r="69">
      <c r="A69" s="120" t="inlineStr">
        <is>
          <t>CONDUCTIVIDAD*</t>
        </is>
      </c>
      <c r="B69" s="132" t="inlineStr">
        <is>
          <t>-</t>
        </is>
      </c>
      <c r="C69" s="117" t="inlineStr">
        <is>
          <t>Campo</t>
        </is>
      </c>
      <c r="D69" s="118" t="inlineStr">
        <is>
          <t>Campo</t>
        </is>
      </c>
      <c r="E69" s="117" t="inlineStr">
        <is>
          <t>.</t>
        </is>
      </c>
      <c r="F69" s="257" t="inlineStr">
        <is>
          <t>-</t>
        </is>
      </c>
      <c r="G69" s="216" t="inlineStr">
        <is>
          <t>No Requiere</t>
        </is>
      </c>
    </row>
    <row r="70">
      <c r="A70" s="121" t="inlineStr">
        <is>
          <t>COT (CARBONO ORGANICO TOTAL)</t>
        </is>
      </c>
      <c r="B70" s="135" t="inlineStr">
        <is>
          <t>P</t>
        </is>
      </c>
      <c r="C70" s="13" t="inlineStr">
        <is>
          <t>500 mL</t>
        </is>
      </c>
      <c r="D70" s="1" t="inlineStr">
        <is>
          <t>No Requiere</t>
        </is>
      </c>
      <c r="E70" s="13" t="inlineStr">
        <is>
          <t>.</t>
        </is>
      </c>
      <c r="F70" s="257" t="inlineStr">
        <is>
          <t>-</t>
        </is>
      </c>
      <c r="G70" s="246" t="inlineStr">
        <is>
          <t>No Requiere</t>
        </is>
      </c>
    </row>
    <row r="71">
      <c r="A71" s="121" t="inlineStr">
        <is>
          <t>COV´S</t>
        </is>
      </c>
      <c r="B71" s="135" t="inlineStr">
        <is>
          <t>Vial Ambar</t>
        </is>
      </c>
      <c r="C71" s="13" t="inlineStr">
        <is>
          <t>40 mL</t>
        </is>
      </c>
      <c r="D71" s="1" t="inlineStr">
        <is>
          <t>Llenar a tope Sin aire</t>
        </is>
      </c>
      <c r="E71" s="13" t="inlineStr">
        <is>
          <t>.</t>
        </is>
      </c>
      <c r="F71" s="254" t="n">
        <v>3</v>
      </c>
      <c r="G71" s="246" t="inlineStr">
        <is>
          <t>viales adicionales</t>
        </is>
      </c>
    </row>
    <row r="72">
      <c r="A72" s="121" t="inlineStr">
        <is>
          <t>CROMO HEXAVALENTE*</t>
        </is>
      </c>
      <c r="B72" s="205" t="inlineStr">
        <is>
          <t>P</t>
        </is>
      </c>
      <c r="C72" s="206" t="inlineStr">
        <is>
          <t>500 mL</t>
        </is>
      </c>
      <c r="D72" s="1" t="inlineStr">
        <is>
          <t>NaOH 5N + (NH4)2SO4</t>
        </is>
      </c>
      <c r="E72" s="13" t="inlineStr">
        <is>
          <t xml:space="preserve">10 (G*) </t>
        </is>
      </c>
      <c r="F72" s="257" t="inlineStr">
        <is>
          <t>-</t>
        </is>
      </c>
      <c r="G72" s="246" t="inlineStr">
        <is>
          <t>No Requiere</t>
        </is>
      </c>
    </row>
    <row r="73">
      <c r="A73" s="121" t="inlineStr">
        <is>
          <t>CROMO TOTAL</t>
        </is>
      </c>
      <c r="B73" s="135" t="inlineStr">
        <is>
          <t>P</t>
        </is>
      </c>
      <c r="C73" s="13" t="inlineStr">
        <is>
          <t>500 mL</t>
        </is>
      </c>
      <c r="D73" s="1" t="n"/>
      <c r="E73" s="13" t="inlineStr">
        <is>
          <t>.</t>
        </is>
      </c>
      <c r="F73" s="254" t="inlineStr">
        <is>
          <t>-</t>
        </is>
      </c>
      <c r="G73" s="246" t="inlineStr">
        <is>
          <t>No Requiere</t>
        </is>
      </c>
    </row>
    <row r="74">
      <c r="A74" s="121" t="inlineStr">
        <is>
          <t>CROMO*</t>
        </is>
      </c>
      <c r="B74" s="135" t="inlineStr">
        <is>
          <t>P</t>
        </is>
      </c>
      <c r="C74" s="13" t="inlineStr">
        <is>
          <t>500 mL</t>
        </is>
      </c>
      <c r="D74" s="1" t="inlineStr">
        <is>
          <t>No requiere</t>
        </is>
      </c>
      <c r="E74" s="13" t="inlineStr">
        <is>
          <t>.</t>
        </is>
      </c>
      <c r="F74" s="257" t="inlineStr">
        <is>
          <t>-</t>
        </is>
      </c>
      <c r="G74" s="246" t="inlineStr">
        <is>
          <t>No Requiere</t>
        </is>
      </c>
    </row>
    <row r="75">
      <c r="A75" s="121" t="inlineStr">
        <is>
          <t>DEMANDA BIOQUIMICA DE OXIGENO (DBO5)*</t>
        </is>
      </c>
      <c r="B75" s="135" t="inlineStr">
        <is>
          <t>P</t>
        </is>
      </c>
      <c r="C75" s="13" t="inlineStr">
        <is>
          <t>1 Lt</t>
        </is>
      </c>
      <c r="D75" s="1" t="inlineStr">
        <is>
          <t>Llenar a tope Sin aire</t>
        </is>
      </c>
      <c r="E75" s="13" t="inlineStr">
        <is>
          <t>.</t>
        </is>
      </c>
      <c r="F75" s="254" t="n">
        <v>1</v>
      </c>
      <c r="G75" s="246" t="inlineStr">
        <is>
          <t>Frasco adicional</t>
        </is>
      </c>
    </row>
    <row r="76">
      <c r="A76" s="121" t="inlineStr">
        <is>
          <t>DEMANDA QUIMICA DE OXIGENO (DQO)*</t>
        </is>
      </c>
      <c r="B76" s="135" t="inlineStr">
        <is>
          <t>P</t>
        </is>
      </c>
      <c r="C76" s="13" t="inlineStr">
        <is>
          <t>250 mL</t>
        </is>
      </c>
      <c r="D76" s="1" t="inlineStr">
        <is>
          <t>H2SO4 1:1</t>
        </is>
      </c>
      <c r="E76" s="13" t="inlineStr">
        <is>
          <t>20 (G*)</t>
        </is>
      </c>
      <c r="F76" s="257" t="inlineStr">
        <is>
          <t>-</t>
        </is>
      </c>
      <c r="G76" s="246" t="inlineStr">
        <is>
          <t>No Requiere</t>
        </is>
      </c>
    </row>
    <row r="77">
      <c r="A77" s="121" t="inlineStr">
        <is>
          <t>Detergentes SAAM</t>
        </is>
      </c>
      <c r="B77" s="135" t="inlineStr">
        <is>
          <t>P</t>
        </is>
      </c>
      <c r="C77" s="13" t="inlineStr">
        <is>
          <t>1 Lt</t>
        </is>
      </c>
      <c r="D77" s="1" t="inlineStr">
        <is>
          <t>No Requiere</t>
        </is>
      </c>
      <c r="E77" s="13" t="inlineStr">
        <is>
          <t>.</t>
        </is>
      </c>
      <c r="F77" s="254" t="n">
        <v>1</v>
      </c>
      <c r="G77" s="246" t="inlineStr">
        <is>
          <t>Frasco adicional</t>
        </is>
      </c>
    </row>
    <row r="78">
      <c r="A78" s="121" t="inlineStr">
        <is>
          <t>DUREZA TOTAL</t>
        </is>
      </c>
      <c r="B78" s="135" t="inlineStr">
        <is>
          <t>P</t>
        </is>
      </c>
      <c r="C78" s="13" t="inlineStr">
        <is>
          <t>500 mL</t>
        </is>
      </c>
      <c r="D78" s="1" t="inlineStr">
        <is>
          <t>HNO3 1:1</t>
        </is>
      </c>
      <c r="E78" s="13" t="inlineStr">
        <is>
          <t xml:space="preserve">10 (G*) </t>
        </is>
      </c>
      <c r="F78" s="257" t="inlineStr">
        <is>
          <t>-</t>
        </is>
      </c>
      <c r="G78" s="246" t="inlineStr">
        <is>
          <t>No Requiere</t>
        </is>
      </c>
    </row>
    <row r="79">
      <c r="A79" s="121" t="inlineStr">
        <is>
          <t>DUREZA CALCICA</t>
        </is>
      </c>
      <c r="B79" s="135" t="inlineStr">
        <is>
          <t>P</t>
        </is>
      </c>
      <c r="C79" s="13" t="inlineStr">
        <is>
          <t>500 mL</t>
        </is>
      </c>
      <c r="D79" s="1" t="inlineStr">
        <is>
          <t>HNO3 1:1</t>
        </is>
      </c>
      <c r="E79" s="13" t="inlineStr">
        <is>
          <t xml:space="preserve">10 (G*) </t>
        </is>
      </c>
      <c r="F79" s="257" t="inlineStr">
        <is>
          <t>-</t>
        </is>
      </c>
      <c r="G79" s="248" t="inlineStr">
        <is>
          <t>No requiere</t>
        </is>
      </c>
    </row>
    <row r="80">
      <c r="A80" s="121" t="inlineStr">
        <is>
          <t>Endotoxina</t>
        </is>
      </c>
      <c r="B80" s="135" t="inlineStr">
        <is>
          <t>P</t>
        </is>
      </c>
      <c r="C80" s="13" t="inlineStr">
        <is>
          <t>120 mL</t>
        </is>
      </c>
      <c r="D80" s="1" t="inlineStr">
        <is>
          <t>No requiere</t>
        </is>
      </c>
      <c r="E80" s="13" t="inlineStr">
        <is>
          <t>.</t>
        </is>
      </c>
      <c r="F80" s="257" t="inlineStr">
        <is>
          <t>-</t>
        </is>
      </c>
      <c r="G80" s="246" t="inlineStr">
        <is>
          <t>No requiere</t>
        </is>
      </c>
    </row>
    <row r="81">
      <c r="A81" s="121" t="inlineStr">
        <is>
          <t>ENUMERACION DE ENTEROCOCOS</t>
        </is>
      </c>
      <c r="B81" s="135" t="inlineStr">
        <is>
          <t>P.E</t>
        </is>
      </c>
      <c r="C81" s="13" t="inlineStr">
        <is>
          <t>250 ml</t>
        </is>
      </c>
      <c r="D81" s="1" t="inlineStr">
        <is>
          <t>No requiere</t>
        </is>
      </c>
      <c r="E81" s="13" t="inlineStr">
        <is>
          <t>.</t>
        </is>
      </c>
      <c r="F81" s="257" t="inlineStr">
        <is>
          <t>-</t>
        </is>
      </c>
      <c r="G81" s="246" t="inlineStr">
        <is>
          <t>No Requiere</t>
        </is>
      </c>
    </row>
    <row r="82">
      <c r="A82" s="124" t="inlineStr">
        <is>
          <t>ENUMERACION DE ENTEROCOCOS</t>
        </is>
      </c>
      <c r="B82" s="135" t="inlineStr">
        <is>
          <t>P.E</t>
        </is>
      </c>
      <c r="C82" s="13" t="n">
        <v>250</v>
      </c>
      <c r="D82" s="1" t="inlineStr">
        <is>
          <t>TIO</t>
        </is>
      </c>
      <c r="E82" s="13" t="inlineStr">
        <is>
          <t>.</t>
        </is>
      </c>
      <c r="F82" s="257" t="inlineStr">
        <is>
          <t>-</t>
        </is>
      </c>
      <c r="G82" s="246" t="inlineStr">
        <is>
          <t>No Requiere</t>
        </is>
      </c>
    </row>
    <row r="83">
      <c r="A83" s="121" t="inlineStr">
        <is>
          <t>ESCHERICHIA COLI*</t>
        </is>
      </c>
      <c r="B83" s="135" t="inlineStr">
        <is>
          <t>P.E</t>
        </is>
      </c>
      <c r="C83" s="13" t="inlineStr">
        <is>
          <t>500 mL</t>
        </is>
      </c>
      <c r="D83" s="1" t="inlineStr">
        <is>
          <t>No requiere</t>
        </is>
      </c>
      <c r="E83" s="13" t="inlineStr">
        <is>
          <t>.</t>
        </is>
      </c>
      <c r="F83" s="257" t="inlineStr">
        <is>
          <t>-</t>
        </is>
      </c>
      <c r="G83" s="246" t="inlineStr">
        <is>
          <t>No Requiere</t>
        </is>
      </c>
    </row>
    <row r="84">
      <c r="A84" s="120" t="inlineStr">
        <is>
          <t>ESTREPTOCOCOS FECALES</t>
        </is>
      </c>
      <c r="B84" s="135" t="inlineStr">
        <is>
          <t>P.E</t>
        </is>
      </c>
      <c r="C84" s="13" t="inlineStr">
        <is>
          <t>500 mL</t>
        </is>
      </c>
      <c r="D84" s="1" t="inlineStr">
        <is>
          <t>No requiere</t>
        </is>
      </c>
      <c r="E84" s="13" t="inlineStr">
        <is>
          <t>.</t>
        </is>
      </c>
      <c r="F84" s="257" t="inlineStr">
        <is>
          <t>-</t>
        </is>
      </c>
      <c r="G84" s="246" t="inlineStr">
        <is>
          <t>No Requiere</t>
        </is>
      </c>
    </row>
    <row r="85">
      <c r="A85" s="121" t="inlineStr">
        <is>
          <t>ESTERES DE FTALATOS</t>
        </is>
      </c>
      <c r="B85" s="135" t="inlineStr">
        <is>
          <t>Vial Ambar</t>
        </is>
      </c>
      <c r="C85" s="13" t="inlineStr">
        <is>
          <t>40 mL</t>
        </is>
      </c>
      <c r="D85" s="1" t="inlineStr">
        <is>
          <t>Llenar a tope Sin aire</t>
        </is>
      </c>
      <c r="E85" s="13" t="inlineStr">
        <is>
          <t>.</t>
        </is>
      </c>
      <c r="F85" s="257" t="inlineStr">
        <is>
          <t>-</t>
        </is>
      </c>
      <c r="G85" s="246" t="inlineStr">
        <is>
          <t>No requiere</t>
        </is>
      </c>
    </row>
    <row r="86">
      <c r="A86" s="121" t="inlineStr">
        <is>
          <t>FENOLES</t>
        </is>
      </c>
      <c r="B86" s="135" t="inlineStr">
        <is>
          <t>V.A</t>
        </is>
      </c>
      <c r="C86" s="13" t="inlineStr">
        <is>
          <t>1 Lt</t>
        </is>
      </c>
      <c r="D86" s="1" t="inlineStr">
        <is>
          <t>H2SO4 1:1</t>
        </is>
      </c>
      <c r="E86" s="13" t="inlineStr">
        <is>
          <t xml:space="preserve">100 (G*) </t>
        </is>
      </c>
      <c r="F86" s="254" t="n">
        <v>2</v>
      </c>
      <c r="G86" s="246" t="inlineStr">
        <is>
          <t>Frascos adicionales</t>
        </is>
      </c>
    </row>
    <row r="87">
      <c r="A87" s="121" t="inlineStr">
        <is>
          <t>FLUOR</t>
        </is>
      </c>
      <c r="B87" s="135" t="inlineStr">
        <is>
          <t>P</t>
        </is>
      </c>
      <c r="C87" s="13" t="inlineStr">
        <is>
          <t>120 mL</t>
        </is>
      </c>
      <c r="D87" s="1" t="inlineStr">
        <is>
          <t>No Requiere</t>
        </is>
      </c>
      <c r="E87" s="13" t="inlineStr">
        <is>
          <t>.</t>
        </is>
      </c>
      <c r="F87" s="257" t="inlineStr">
        <is>
          <t>-</t>
        </is>
      </c>
      <c r="G87" s="246" t="inlineStr">
        <is>
          <t>No Requiere</t>
        </is>
      </c>
    </row>
    <row r="88">
      <c r="A88" s="121" t="inlineStr">
        <is>
          <t xml:space="preserve">FLUORUROS </t>
        </is>
      </c>
      <c r="B88" s="135" t="inlineStr">
        <is>
          <t>P</t>
        </is>
      </c>
      <c r="C88" s="13" t="inlineStr">
        <is>
          <t>500 mL</t>
        </is>
      </c>
      <c r="D88" s="1" t="inlineStr">
        <is>
          <t>No Requiere</t>
        </is>
      </c>
      <c r="E88" s="13" t="inlineStr">
        <is>
          <t>.</t>
        </is>
      </c>
      <c r="F88" s="254" t="n">
        <v>1</v>
      </c>
      <c r="G88" s="246" t="inlineStr">
        <is>
          <t>Frasco de adicional</t>
        </is>
      </c>
    </row>
    <row r="89">
      <c r="A89" s="121" t="inlineStr">
        <is>
          <t>Formaldehido ( como aldehido)</t>
        </is>
      </c>
      <c r="B89" s="135" t="inlineStr">
        <is>
          <t>Vial Ambar</t>
        </is>
      </c>
      <c r="C89" s="13" t="inlineStr">
        <is>
          <t>40 mL</t>
        </is>
      </c>
      <c r="D89" s="1" t="inlineStr">
        <is>
          <t>Llenar a tope Sin aire</t>
        </is>
      </c>
      <c r="E89" s="13" t="inlineStr">
        <is>
          <t>.</t>
        </is>
      </c>
      <c r="F89" s="254" t="n">
        <v>3</v>
      </c>
      <c r="G89" s="246" t="inlineStr">
        <is>
          <t>viales adicionales</t>
        </is>
      </c>
    </row>
    <row r="90">
      <c r="A90" s="121" t="inlineStr">
        <is>
          <t>FOSFATOS</t>
        </is>
      </c>
      <c r="B90" s="135" t="inlineStr">
        <is>
          <t>P</t>
        </is>
      </c>
      <c r="C90" s="13" t="inlineStr">
        <is>
          <t>500 mL</t>
        </is>
      </c>
      <c r="D90" s="1" t="inlineStr">
        <is>
          <t>No requiere</t>
        </is>
      </c>
      <c r="E90" s="13" t="inlineStr">
        <is>
          <t>.</t>
        </is>
      </c>
      <c r="F90" s="254" t="n">
        <v>1</v>
      </c>
      <c r="G90" s="246" t="inlineStr">
        <is>
          <t>Frasco de adicional</t>
        </is>
      </c>
    </row>
    <row r="91">
      <c r="A91" s="121" t="inlineStr">
        <is>
          <t>FOSFORO TOTAL</t>
        </is>
      </c>
      <c r="B91" s="135" t="inlineStr">
        <is>
          <t>P</t>
        </is>
      </c>
      <c r="C91" s="16" t="inlineStr">
        <is>
          <t>500 mL</t>
        </is>
      </c>
      <c r="D91" s="18" t="inlineStr">
        <is>
          <t>H2SO4 1:1</t>
        </is>
      </c>
      <c r="E91" s="13" t="inlineStr">
        <is>
          <t xml:space="preserve">30 (G*) </t>
        </is>
      </c>
      <c r="F91" s="254" t="n">
        <v>1</v>
      </c>
      <c r="G91" s="250" t="inlineStr">
        <is>
          <t>Frasco de adicional</t>
        </is>
      </c>
    </row>
    <row r="92">
      <c r="A92" s="121" t="inlineStr">
        <is>
          <t>H. Y LARVAS  HELMINTOS - ORG. DE VIDA LIBRE</t>
        </is>
      </c>
      <c r="B92" s="135" t="inlineStr">
        <is>
          <t>P.E</t>
        </is>
      </c>
      <c r="C92" s="13" t="inlineStr">
        <is>
          <t>1 Lt</t>
        </is>
      </c>
      <c r="D92" s="1" t="inlineStr">
        <is>
          <t>LUGOL</t>
        </is>
      </c>
      <c r="E92" s="13" t="inlineStr">
        <is>
          <t xml:space="preserve">10 (G*) </t>
        </is>
      </c>
      <c r="F92" s="254" t="n">
        <v>2</v>
      </c>
      <c r="G92" s="246" t="inlineStr">
        <is>
          <t>Frascos adicionales</t>
        </is>
      </c>
    </row>
    <row r="93">
      <c r="A93" s="121" t="inlineStr">
        <is>
          <t>HAPs</t>
        </is>
      </c>
      <c r="B93" s="135" t="inlineStr">
        <is>
          <t>V.A</t>
        </is>
      </c>
      <c r="C93" s="13" t="inlineStr">
        <is>
          <t>1 Lt</t>
        </is>
      </c>
      <c r="D93" s="1" t="inlineStr">
        <is>
          <t>No requiere</t>
        </is>
      </c>
      <c r="E93" s="13" t="inlineStr">
        <is>
          <t>.</t>
        </is>
      </c>
      <c r="F93" s="254" t="n">
        <v>3</v>
      </c>
      <c r="G93" s="246" t="inlineStr">
        <is>
          <t>Frascos adicionales</t>
        </is>
      </c>
    </row>
    <row r="94">
      <c r="A94" s="121" t="inlineStr">
        <is>
          <t>Hidrocarburos totales (TPH; F1)</t>
        </is>
      </c>
      <c r="B94" s="135" t="inlineStr">
        <is>
          <t>Vial Ambar</t>
        </is>
      </c>
      <c r="C94" s="13" t="inlineStr">
        <is>
          <t>40 mL</t>
        </is>
      </c>
      <c r="D94" s="1" t="inlineStr">
        <is>
          <t>Llenar a tope Sin aire</t>
        </is>
      </c>
      <c r="E94" s="13" t="inlineStr">
        <is>
          <t>.</t>
        </is>
      </c>
      <c r="F94" s="254" t="n">
        <v>2</v>
      </c>
      <c r="G94" s="246" t="inlineStr">
        <is>
          <t>viales adicionales</t>
        </is>
      </c>
    </row>
    <row r="95">
      <c r="A95" s="120" t="inlineStr">
        <is>
          <t>Hidrocarburos disueltos</t>
        </is>
      </c>
      <c r="B95" s="135" t="inlineStr">
        <is>
          <t>V.A</t>
        </is>
      </c>
      <c r="C95" s="13" t="inlineStr">
        <is>
          <t>1 Lt</t>
        </is>
      </c>
      <c r="D95" s="1" t="inlineStr">
        <is>
          <t>No requiere</t>
        </is>
      </c>
      <c r="E95" s="13" t="inlineStr">
        <is>
          <t>.</t>
        </is>
      </c>
      <c r="F95" s="257" t="inlineStr">
        <is>
          <t>-</t>
        </is>
      </c>
      <c r="G95" s="246" t="inlineStr">
        <is>
          <t>No Requiere</t>
        </is>
      </c>
    </row>
    <row r="96">
      <c r="A96" s="121" t="inlineStr">
        <is>
          <t>Hidrocarburos totales (TPH; F2; F3)</t>
        </is>
      </c>
      <c r="B96" s="135" t="inlineStr">
        <is>
          <t>V.A</t>
        </is>
      </c>
      <c r="C96" s="13" t="inlineStr">
        <is>
          <t>1 Lt</t>
        </is>
      </c>
      <c r="D96" s="1" t="inlineStr">
        <is>
          <t>No requiere</t>
        </is>
      </c>
      <c r="E96" s="13" t="inlineStr">
        <is>
          <t>.</t>
        </is>
      </c>
      <c r="F96" s="254" t="n">
        <v>2</v>
      </c>
      <c r="G96" s="246" t="inlineStr">
        <is>
          <t>Frascos adicionales</t>
        </is>
      </c>
    </row>
    <row r="97">
      <c r="A97" s="121" t="inlineStr">
        <is>
          <t>HTP´S</t>
        </is>
      </c>
      <c r="B97" s="135" t="inlineStr">
        <is>
          <t>V.A</t>
        </is>
      </c>
      <c r="C97" s="13" t="inlineStr">
        <is>
          <t>1 Lt</t>
        </is>
      </c>
      <c r="D97" s="1" t="inlineStr">
        <is>
          <t>No requiere</t>
        </is>
      </c>
      <c r="E97" s="13" t="inlineStr">
        <is>
          <t>.</t>
        </is>
      </c>
      <c r="F97" s="254" t="n">
        <v>3</v>
      </c>
      <c r="G97" s="246" t="inlineStr">
        <is>
          <t>Frascos adicionales</t>
        </is>
      </c>
    </row>
    <row r="98">
      <c r="A98" s="121" t="inlineStr">
        <is>
          <t xml:space="preserve">HTP'S - COV´S - HAP´S - PCB´S - BETX </t>
        </is>
      </c>
      <c r="B98" s="135" t="inlineStr">
        <is>
          <t>P</t>
        </is>
      </c>
      <c r="C98" s="13" t="inlineStr">
        <is>
          <t>1 Lt</t>
        </is>
      </c>
      <c r="D98" s="1" t="inlineStr">
        <is>
          <t>No Requiere</t>
        </is>
      </c>
      <c r="E98" s="13" t="inlineStr">
        <is>
          <t>.</t>
        </is>
      </c>
      <c r="F98" s="257" t="inlineStr">
        <is>
          <t>-</t>
        </is>
      </c>
      <c r="G98" s="246" t="inlineStr">
        <is>
          <t>No Requiere</t>
        </is>
      </c>
    </row>
    <row r="99">
      <c r="A99" s="121" t="inlineStr">
        <is>
          <t>HUEVOS Y LARVAS HELMINTOS</t>
        </is>
      </c>
      <c r="B99" s="135" t="inlineStr">
        <is>
          <t>P</t>
        </is>
      </c>
      <c r="C99" s="13" t="n">
        <v>10</v>
      </c>
      <c r="D99" s="1" t="inlineStr">
        <is>
          <t>No Requiere</t>
        </is>
      </c>
      <c r="E99" s="13" t="inlineStr">
        <is>
          <t>.</t>
        </is>
      </c>
      <c r="F99" s="254">
        <f>IF(C99="1 Lt",1,IF(C99="4 Lt",4,10))</f>
        <v/>
      </c>
      <c r="G99" s="246" t="inlineStr">
        <is>
          <t>Litros Adicional</t>
        </is>
      </c>
    </row>
    <row r="100">
      <c r="A100" s="121" t="inlineStr">
        <is>
          <t>MERCURIO</t>
        </is>
      </c>
      <c r="B100" s="135" t="inlineStr">
        <is>
          <t>P</t>
        </is>
      </c>
      <c r="C100" s="13" t="inlineStr">
        <is>
          <t>500 mL</t>
        </is>
      </c>
      <c r="D100" s="1" t="inlineStr">
        <is>
          <t>HNO3 1:1</t>
        </is>
      </c>
      <c r="E100" s="13" t="inlineStr">
        <is>
          <t xml:space="preserve">30 (G*) </t>
        </is>
      </c>
      <c r="F100" s="254" t="n">
        <v>1</v>
      </c>
      <c r="G100" s="246" t="inlineStr">
        <is>
          <t>Frasco de adicional</t>
        </is>
      </c>
    </row>
    <row r="101">
      <c r="A101" s="121" t="inlineStr">
        <is>
          <t>METALES</t>
        </is>
      </c>
      <c r="B101" s="135" t="inlineStr">
        <is>
          <t>P</t>
        </is>
      </c>
      <c r="C101" s="16" t="inlineStr">
        <is>
          <t>1 Lt</t>
        </is>
      </c>
      <c r="D101" s="18" t="inlineStr">
        <is>
          <t>HNO3 1:1</t>
        </is>
      </c>
      <c r="E101" s="13" t="inlineStr">
        <is>
          <t xml:space="preserve">30 (G*) </t>
        </is>
      </c>
      <c r="F101" s="257" t="inlineStr">
        <is>
          <t>-</t>
        </is>
      </c>
      <c r="G101" s="250" t="inlineStr">
        <is>
          <t>No Requiere</t>
        </is>
      </c>
    </row>
    <row r="102">
      <c r="A102" s="121" t="inlineStr">
        <is>
          <t>METALES TOTALES AA* e ICP-OES - DUREZA TOTAL</t>
        </is>
      </c>
      <c r="B102" s="135" t="inlineStr">
        <is>
          <t>P</t>
        </is>
      </c>
      <c r="C102" s="13" t="inlineStr">
        <is>
          <t>1 Lt</t>
        </is>
      </c>
      <c r="D102" s="1" t="inlineStr">
        <is>
          <t>HNO3 1:1</t>
        </is>
      </c>
      <c r="E102" s="13" t="inlineStr">
        <is>
          <t xml:space="preserve">30 (G*) </t>
        </is>
      </c>
      <c r="F102" s="257" t="inlineStr">
        <is>
          <t>-</t>
        </is>
      </c>
      <c r="G102" s="250" t="inlineStr">
        <is>
          <t>No Requiere</t>
        </is>
      </c>
    </row>
    <row r="103">
      <c r="A103" s="121" t="inlineStr">
        <is>
          <t>METALES TOTALES AA* e ICP-OES</t>
        </is>
      </c>
      <c r="B103" s="135" t="inlineStr">
        <is>
          <t>P</t>
        </is>
      </c>
      <c r="C103" s="13" t="inlineStr">
        <is>
          <t>1 Lt</t>
        </is>
      </c>
      <c r="D103" s="1" t="inlineStr">
        <is>
          <t>HNO3 1:1</t>
        </is>
      </c>
      <c r="E103" s="13" t="inlineStr">
        <is>
          <t xml:space="preserve">30 (G*) </t>
        </is>
      </c>
      <c r="F103" s="254" t="n">
        <v>1</v>
      </c>
      <c r="G103" s="251" t="inlineStr">
        <is>
          <t>Frasco adicional</t>
        </is>
      </c>
    </row>
    <row r="104">
      <c r="A104" s="121" t="inlineStr">
        <is>
          <t>Metamidofos</t>
        </is>
      </c>
      <c r="B104" s="135" t="inlineStr">
        <is>
          <t>V.A</t>
        </is>
      </c>
      <c r="C104" s="17" t="inlineStr">
        <is>
          <t>1 Lt</t>
        </is>
      </c>
      <c r="D104" s="1" t="inlineStr">
        <is>
          <t>No requiere</t>
        </is>
      </c>
      <c r="E104" s="13" t="inlineStr">
        <is>
          <t>.</t>
        </is>
      </c>
      <c r="F104" s="257" t="inlineStr">
        <is>
          <t>-</t>
        </is>
      </c>
      <c r="G104" s="251" t="inlineStr">
        <is>
          <t>No requiere</t>
        </is>
      </c>
    </row>
    <row r="105">
      <c r="A105" s="201" t="inlineStr">
        <is>
          <t>MICROSISTINA - LR</t>
        </is>
      </c>
      <c r="B105" s="211" t="inlineStr">
        <is>
          <t>P</t>
        </is>
      </c>
      <c r="C105" s="211" t="inlineStr">
        <is>
          <t>1 Lt</t>
        </is>
      </c>
      <c r="D105" s="212" t="inlineStr">
        <is>
          <t>No Requiere</t>
        </is>
      </c>
      <c r="E105" s="241" t="inlineStr">
        <is>
          <t>.</t>
        </is>
      </c>
      <c r="F105" s="257" t="inlineStr">
        <is>
          <t>-</t>
        </is>
      </c>
      <c r="G105" s="252" t="inlineStr">
        <is>
          <t>No Requiere</t>
        </is>
      </c>
    </row>
    <row r="106">
      <c r="A106" s="120" t="n"/>
      <c r="B106" s="117" t="n"/>
      <c r="C106" s="117" t="n"/>
      <c r="D106" s="263" t="n"/>
      <c r="E106" s="264" t="n"/>
      <c r="F106" s="257" t="n"/>
      <c r="G106" s="120" t="n"/>
    </row>
    <row r="107">
      <c r="A107" s="121" t="inlineStr">
        <is>
          <t>NITRATOS</t>
        </is>
      </c>
      <c r="B107" s="135" t="inlineStr">
        <is>
          <t>P</t>
        </is>
      </c>
      <c r="C107" s="13" t="inlineStr">
        <is>
          <t>120 mL</t>
        </is>
      </c>
      <c r="D107" s="1" t="inlineStr">
        <is>
          <t>No Requiere</t>
        </is>
      </c>
      <c r="E107" s="13" t="inlineStr">
        <is>
          <t>.</t>
        </is>
      </c>
      <c r="F107" s="254" t="n">
        <v>1</v>
      </c>
      <c r="G107" s="246" t="inlineStr">
        <is>
          <t>Frasco adicional</t>
        </is>
      </c>
    </row>
    <row r="108">
      <c r="A108" s="121" t="inlineStr">
        <is>
          <t>NITRATOS - NITRITOS</t>
        </is>
      </c>
      <c r="B108" s="135" t="inlineStr">
        <is>
          <t>P</t>
        </is>
      </c>
      <c r="C108" s="13" t="inlineStr">
        <is>
          <t>500 mL</t>
        </is>
      </c>
      <c r="D108" s="1" t="inlineStr">
        <is>
          <t>No Requiere</t>
        </is>
      </c>
      <c r="E108" s="13" t="inlineStr">
        <is>
          <t>.</t>
        </is>
      </c>
      <c r="F108" s="254" t="n">
        <v>1</v>
      </c>
      <c r="G108" s="246" t="inlineStr">
        <is>
          <t>Frasco adicional</t>
        </is>
      </c>
    </row>
    <row r="109">
      <c r="A109" s="121" t="inlineStr">
        <is>
          <t>NITRITOS</t>
        </is>
      </c>
      <c r="B109" s="135" t="inlineStr">
        <is>
          <t>P</t>
        </is>
      </c>
      <c r="C109" s="16" t="inlineStr">
        <is>
          <t>250 mL</t>
        </is>
      </c>
      <c r="D109" s="18" t="inlineStr">
        <is>
          <t>No Requiere</t>
        </is>
      </c>
      <c r="E109" s="13" t="inlineStr">
        <is>
          <t>.</t>
        </is>
      </c>
      <c r="F109" s="254" t="n">
        <v>1</v>
      </c>
      <c r="G109" s="250" t="inlineStr">
        <is>
          <t>Frasco adicional</t>
        </is>
      </c>
    </row>
    <row r="110">
      <c r="A110" s="121" t="inlineStr">
        <is>
          <t>NITROGENO AMONIACAL*</t>
        </is>
      </c>
      <c r="B110" s="135" t="inlineStr">
        <is>
          <t>P</t>
        </is>
      </c>
      <c r="C110" s="13" t="inlineStr">
        <is>
          <t>500 mL</t>
        </is>
      </c>
      <c r="D110" s="1" t="inlineStr">
        <is>
          <t>H2SO4 1:1</t>
        </is>
      </c>
      <c r="E110" s="13" t="inlineStr">
        <is>
          <t xml:space="preserve">20 (G*) </t>
        </is>
      </c>
      <c r="F110" s="257" t="inlineStr">
        <is>
          <t>-</t>
        </is>
      </c>
      <c r="G110" s="248" t="inlineStr">
        <is>
          <t>No requiere</t>
        </is>
      </c>
    </row>
    <row r="111">
      <c r="A111" s="125" t="inlineStr">
        <is>
          <t>NITROGENO ORGANICO Kjeldahl</t>
        </is>
      </c>
      <c r="B111" s="136" t="inlineStr">
        <is>
          <t>P</t>
        </is>
      </c>
      <c r="C111" s="17" t="inlineStr">
        <is>
          <t>500 mL</t>
        </is>
      </c>
      <c r="D111" s="20" t="inlineStr">
        <is>
          <t>H2SO4 1:1</t>
        </is>
      </c>
      <c r="E111" s="17" t="inlineStr">
        <is>
          <t xml:space="preserve">20 (G*) </t>
        </is>
      </c>
      <c r="F111" s="257" t="inlineStr">
        <is>
          <t>-</t>
        </is>
      </c>
      <c r="G111" s="253" t="inlineStr">
        <is>
          <t>No requiere</t>
        </is>
      </c>
    </row>
    <row r="112">
      <c r="A112" s="121" t="inlineStr">
        <is>
          <t>NITROGENO TOTAL</t>
        </is>
      </c>
      <c r="B112" s="135" t="inlineStr">
        <is>
          <t>P</t>
        </is>
      </c>
      <c r="C112" s="13" t="inlineStr">
        <is>
          <t>500 mL</t>
        </is>
      </c>
      <c r="D112" s="1" t="inlineStr">
        <is>
          <t>H2SO4 1:1</t>
        </is>
      </c>
      <c r="E112" s="13" t="inlineStr">
        <is>
          <t xml:space="preserve">10 (G*) </t>
        </is>
      </c>
      <c r="F112" s="257" t="inlineStr">
        <is>
          <t>-</t>
        </is>
      </c>
      <c r="G112" s="253" t="inlineStr">
        <is>
          <t>No requiere</t>
        </is>
      </c>
    </row>
    <row r="113">
      <c r="A113" s="120" t="inlineStr">
        <is>
          <t>N-NITRATOS</t>
        </is>
      </c>
      <c r="B113" s="132" t="inlineStr">
        <is>
          <t>P</t>
        </is>
      </c>
      <c r="C113" s="117" t="inlineStr">
        <is>
          <t>250 mL</t>
        </is>
      </c>
      <c r="D113" s="118" t="inlineStr">
        <is>
          <t>No Requiere</t>
        </is>
      </c>
      <c r="E113" s="117" t="inlineStr">
        <is>
          <t>.</t>
        </is>
      </c>
      <c r="F113" s="258" t="n">
        <v>1</v>
      </c>
      <c r="G113" s="216" t="inlineStr">
        <is>
          <t>Frasco adicional</t>
        </is>
      </c>
    </row>
    <row r="114">
      <c r="A114" s="120" t="inlineStr">
        <is>
          <t>N-NITRATOS</t>
        </is>
      </c>
      <c r="B114" s="132" t="inlineStr">
        <is>
          <t>P</t>
        </is>
      </c>
      <c r="C114" s="117" t="inlineStr">
        <is>
          <t>250 mL</t>
        </is>
      </c>
      <c r="D114" s="118" t="inlineStr">
        <is>
          <t>No Requiere</t>
        </is>
      </c>
      <c r="E114" s="117" t="inlineStr">
        <is>
          <t>.</t>
        </is>
      </c>
      <c r="F114" s="258" t="n">
        <v>1</v>
      </c>
      <c r="G114" s="216" t="inlineStr">
        <is>
          <t>Frasco adicional</t>
        </is>
      </c>
    </row>
    <row r="115">
      <c r="A115" s="121" t="inlineStr">
        <is>
          <t>OLOR</t>
        </is>
      </c>
      <c r="B115" s="135" t="inlineStr">
        <is>
          <t>V</t>
        </is>
      </c>
      <c r="C115" s="13" t="inlineStr">
        <is>
          <t>500 mL</t>
        </is>
      </c>
      <c r="D115" s="1" t="inlineStr">
        <is>
          <t>No Requiere</t>
        </is>
      </c>
      <c r="E115" s="13" t="inlineStr">
        <is>
          <t>.</t>
        </is>
      </c>
      <c r="F115" s="257" t="inlineStr">
        <is>
          <t>-</t>
        </is>
      </c>
      <c r="G115" s="246" t="inlineStr">
        <is>
          <t>No Requiere</t>
        </is>
      </c>
    </row>
    <row r="116">
      <c r="A116" s="121" t="inlineStr">
        <is>
          <t>ORGANICOS VOLATILES (COVs + BTEX)</t>
        </is>
      </c>
      <c r="B116" s="135" t="inlineStr">
        <is>
          <t>Vial Ambar</t>
        </is>
      </c>
      <c r="C116" s="13" t="inlineStr">
        <is>
          <t>40 mL</t>
        </is>
      </c>
      <c r="D116" s="1" t="inlineStr">
        <is>
          <t>Llenar a tope Sin aire</t>
        </is>
      </c>
      <c r="E116" s="13" t="inlineStr">
        <is>
          <t>.</t>
        </is>
      </c>
      <c r="F116" s="254" t="n">
        <v>3</v>
      </c>
      <c r="G116" s="246" t="inlineStr">
        <is>
          <t>viales adicionales</t>
        </is>
      </c>
    </row>
    <row r="117">
      <c r="A117" s="126" t="inlineStr">
        <is>
          <t>ORGANISMOS DE VIDA LIBRE (O.V.L)</t>
        </is>
      </c>
      <c r="B117" s="136" t="inlineStr">
        <is>
          <t>P</t>
        </is>
      </c>
      <c r="C117" s="19" t="inlineStr">
        <is>
          <t>5 Lt</t>
        </is>
      </c>
      <c r="D117" s="20" t="inlineStr">
        <is>
          <t>LUGOL</t>
        </is>
      </c>
      <c r="E117" s="17" t="inlineStr">
        <is>
          <t xml:space="preserve">300 (G*) </t>
        </is>
      </c>
      <c r="F117" s="257" t="n">
        <v>5</v>
      </c>
      <c r="G117" s="251" t="inlineStr">
        <is>
          <t>Litros Adicional</t>
        </is>
      </c>
    </row>
    <row r="118">
      <c r="A118" s="126" t="inlineStr">
        <is>
          <t>OXIGENO DIUELTO (O.D)</t>
        </is>
      </c>
      <c r="B118" s="136" t="inlineStr">
        <is>
          <t>Winkler</t>
        </is>
      </c>
      <c r="C118" s="19" t="inlineStr">
        <is>
          <t>300 mL</t>
        </is>
      </c>
      <c r="D118" s="20" t="inlineStr">
        <is>
          <t>RX. I Y RX. II</t>
        </is>
      </c>
      <c r="E118" s="17" t="inlineStr">
        <is>
          <t>.</t>
        </is>
      </c>
      <c r="F118" s="257" t="inlineStr">
        <is>
          <t>-</t>
        </is>
      </c>
      <c r="G118" s="251" t="inlineStr">
        <is>
          <t>No Requiere</t>
        </is>
      </c>
    </row>
    <row r="119">
      <c r="A119" s="121" t="inlineStr">
        <is>
          <t>OXIGENO DIUELTO (O.D)</t>
        </is>
      </c>
      <c r="B119" s="135" t="inlineStr">
        <is>
          <t>P</t>
        </is>
      </c>
      <c r="C119" s="19" t="inlineStr">
        <is>
          <t>500 mL</t>
        </is>
      </c>
      <c r="D119" s="20" t="inlineStr">
        <is>
          <t>RX. I Y RX. II</t>
        </is>
      </c>
      <c r="E119" s="13" t="inlineStr">
        <is>
          <t>.</t>
        </is>
      </c>
      <c r="F119" s="257" t="inlineStr">
        <is>
          <t>-</t>
        </is>
      </c>
      <c r="G119" s="246" t="inlineStr">
        <is>
          <t>No Requiere</t>
        </is>
      </c>
    </row>
    <row r="120">
      <c r="A120" s="130" t="inlineStr">
        <is>
          <t>OXIGENO DIUELTO (O.D)</t>
        </is>
      </c>
      <c r="B120" s="132" t="inlineStr">
        <is>
          <t>-</t>
        </is>
      </c>
      <c r="C120" s="117" t="inlineStr">
        <is>
          <t>Campo</t>
        </is>
      </c>
      <c r="D120" s="118" t="inlineStr">
        <is>
          <t>Campo</t>
        </is>
      </c>
      <c r="E120" s="117" t="inlineStr">
        <is>
          <t>.</t>
        </is>
      </c>
      <c r="F120" s="257" t="inlineStr">
        <is>
          <t>-</t>
        </is>
      </c>
      <c r="G120" s="216" t="inlineStr">
        <is>
          <t>No Requiere</t>
        </is>
      </c>
    </row>
    <row r="121">
      <c r="A121" s="121" t="inlineStr">
        <is>
          <t>Paracuat</t>
        </is>
      </c>
      <c r="B121" s="135" t="inlineStr">
        <is>
          <t>V.A</t>
        </is>
      </c>
      <c r="C121" s="19" t="inlineStr">
        <is>
          <t>500 mL</t>
        </is>
      </c>
      <c r="D121" s="20" t="inlineStr">
        <is>
          <t>No requiere</t>
        </is>
      </c>
      <c r="E121" s="13" t="inlineStr">
        <is>
          <t>.</t>
        </is>
      </c>
      <c r="F121" s="257" t="inlineStr">
        <is>
          <t>-</t>
        </is>
      </c>
      <c r="G121" s="246" t="inlineStr">
        <is>
          <t>No requiere</t>
        </is>
      </c>
    </row>
    <row r="122">
      <c r="A122" s="121" t="inlineStr">
        <is>
          <t>PCBs</t>
        </is>
      </c>
      <c r="B122" s="135" t="inlineStr">
        <is>
          <t>V.A</t>
        </is>
      </c>
      <c r="C122" s="2" t="inlineStr">
        <is>
          <t>1 Lt</t>
        </is>
      </c>
      <c r="D122" s="20" t="inlineStr">
        <is>
          <t>No requiere</t>
        </is>
      </c>
      <c r="E122" s="13" t="inlineStr">
        <is>
          <t>.</t>
        </is>
      </c>
      <c r="F122" s="254" t="n">
        <v>3</v>
      </c>
      <c r="G122" s="246" t="inlineStr">
        <is>
          <t>Frascos adicionales</t>
        </is>
      </c>
    </row>
    <row r="123">
      <c r="A123" s="121" t="inlineStr">
        <is>
          <t>Pesticidas: Clorados ó Fosforados (RPs)</t>
        </is>
      </c>
      <c r="B123" s="135" t="inlineStr">
        <is>
          <t>V.A</t>
        </is>
      </c>
      <c r="C123" s="13" t="inlineStr">
        <is>
          <t>1 Lt</t>
        </is>
      </c>
      <c r="D123" s="1" t="inlineStr">
        <is>
          <t>No requiere</t>
        </is>
      </c>
      <c r="E123" s="13" t="inlineStr">
        <is>
          <t>.</t>
        </is>
      </c>
      <c r="F123" s="254" t="n">
        <v>3</v>
      </c>
      <c r="G123" s="246" t="inlineStr">
        <is>
          <t>Frascos adicionales</t>
        </is>
      </c>
    </row>
    <row r="124">
      <c r="A124" s="121" t="inlineStr">
        <is>
          <t>PH*</t>
        </is>
      </c>
      <c r="B124" s="135" t="inlineStr">
        <is>
          <t>P</t>
        </is>
      </c>
      <c r="C124" s="16" t="inlineStr">
        <is>
          <t>120 mL</t>
        </is>
      </c>
      <c r="D124" s="18" t="inlineStr">
        <is>
          <t>Analizar inmediatamente</t>
        </is>
      </c>
      <c r="E124" s="13" t="inlineStr">
        <is>
          <t>.</t>
        </is>
      </c>
      <c r="F124" s="257" t="inlineStr">
        <is>
          <t>-</t>
        </is>
      </c>
      <c r="G124" s="250" t="inlineStr">
        <is>
          <t>No Requiere</t>
        </is>
      </c>
    </row>
    <row r="125">
      <c r="A125" s="121" t="inlineStr">
        <is>
          <t>PH* - (Campo)</t>
        </is>
      </c>
      <c r="B125" s="135" t="inlineStr">
        <is>
          <t>-</t>
        </is>
      </c>
      <c r="C125" s="13" t="inlineStr">
        <is>
          <t>Campo</t>
        </is>
      </c>
      <c r="D125" s="1" t="inlineStr">
        <is>
          <t>Campo</t>
        </is>
      </c>
      <c r="E125" s="13" t="inlineStr">
        <is>
          <t>.</t>
        </is>
      </c>
      <c r="F125" s="257" t="inlineStr">
        <is>
          <t>-</t>
        </is>
      </c>
      <c r="G125" s="246" t="inlineStr">
        <is>
          <t>No Requiere</t>
        </is>
      </c>
    </row>
    <row r="126">
      <c r="A126" s="127" t="inlineStr">
        <is>
          <t>PH* - CLORO LIBRE</t>
        </is>
      </c>
      <c r="B126" s="135" t="inlineStr">
        <is>
          <t>P</t>
        </is>
      </c>
      <c r="C126" s="13" t="inlineStr">
        <is>
          <t>120 mL</t>
        </is>
      </c>
      <c r="D126" s="18" t="inlineStr">
        <is>
          <t>No Requiere</t>
        </is>
      </c>
      <c r="E126" s="13" t="inlineStr">
        <is>
          <t>.</t>
        </is>
      </c>
      <c r="F126" s="257" t="inlineStr">
        <is>
          <t>-</t>
        </is>
      </c>
      <c r="G126" s="250" t="inlineStr">
        <is>
          <t>No Requiere</t>
        </is>
      </c>
    </row>
    <row r="127">
      <c r="A127" s="128" t="inlineStr">
        <is>
          <t>PH* - T° - CONDUCTIVIDAD - TURBIDEZ - CLORO LIBRE - O.D (Campo)</t>
        </is>
      </c>
      <c r="B127" s="135" t="inlineStr">
        <is>
          <t>-</t>
        </is>
      </c>
      <c r="C127" s="13" t="inlineStr">
        <is>
          <t>Campo</t>
        </is>
      </c>
      <c r="D127" s="18" t="inlineStr">
        <is>
          <t>Campo</t>
        </is>
      </c>
      <c r="E127" s="13" t="inlineStr">
        <is>
          <t>.</t>
        </is>
      </c>
      <c r="F127" s="257" t="inlineStr">
        <is>
          <t>-</t>
        </is>
      </c>
      <c r="G127" s="250" t="inlineStr">
        <is>
          <t>No Requiere</t>
        </is>
      </c>
    </row>
    <row r="128">
      <c r="A128" s="128" t="inlineStr">
        <is>
          <t>PH* - CONDUCTIVIDAD*</t>
        </is>
      </c>
      <c r="B128" s="135" t="inlineStr">
        <is>
          <t>P</t>
        </is>
      </c>
      <c r="C128" s="13" t="inlineStr">
        <is>
          <t>120 mL</t>
        </is>
      </c>
      <c r="D128" s="18" t="inlineStr">
        <is>
          <t>No Requiere</t>
        </is>
      </c>
      <c r="E128" s="13" t="inlineStr">
        <is>
          <t>.</t>
        </is>
      </c>
      <c r="F128" s="257" t="inlineStr">
        <is>
          <t>-</t>
        </is>
      </c>
      <c r="G128" s="250" t="inlineStr">
        <is>
          <t>No Requiere</t>
        </is>
      </c>
    </row>
    <row r="129">
      <c r="A129" s="128" t="inlineStr">
        <is>
          <t>PH* - CONDUCTIVIDAD* - CLORO LIBRE</t>
        </is>
      </c>
      <c r="B129" s="135" t="inlineStr">
        <is>
          <t>P</t>
        </is>
      </c>
      <c r="C129" s="13" t="inlineStr">
        <is>
          <t>120 mL</t>
        </is>
      </c>
      <c r="D129" s="18" t="inlineStr">
        <is>
          <t>No Requiere</t>
        </is>
      </c>
      <c r="E129" s="13" t="inlineStr">
        <is>
          <t>.</t>
        </is>
      </c>
      <c r="F129" s="257" t="inlineStr">
        <is>
          <t>-</t>
        </is>
      </c>
      <c r="G129" s="250" t="inlineStr">
        <is>
          <t>No Requiere</t>
        </is>
      </c>
    </row>
    <row r="130">
      <c r="A130" s="128" t="inlineStr">
        <is>
          <t>PH* - TEMPERATURA*</t>
        </is>
      </c>
      <c r="B130" s="135" t="inlineStr">
        <is>
          <t>P</t>
        </is>
      </c>
      <c r="C130" s="17" t="inlineStr">
        <is>
          <t>120 mL</t>
        </is>
      </c>
      <c r="D130" s="18" t="inlineStr">
        <is>
          <t>No Requiere</t>
        </is>
      </c>
      <c r="E130" s="13" t="inlineStr">
        <is>
          <t>.</t>
        </is>
      </c>
      <c r="F130" s="257" t="inlineStr">
        <is>
          <t>-</t>
        </is>
      </c>
      <c r="G130" s="250" t="inlineStr">
        <is>
          <t>No Requiere</t>
        </is>
      </c>
    </row>
    <row r="131">
      <c r="A131" s="128" t="inlineStr">
        <is>
          <t>PH* - TEMPERATURA* - CLORO LIBRE</t>
        </is>
      </c>
      <c r="B131" s="135" t="inlineStr">
        <is>
          <t>P</t>
        </is>
      </c>
      <c r="C131" s="13" t="inlineStr">
        <is>
          <t>120 mL</t>
        </is>
      </c>
      <c r="D131" s="18" t="inlineStr">
        <is>
          <t>No Requiere</t>
        </is>
      </c>
      <c r="E131" s="13" t="inlineStr">
        <is>
          <t>.</t>
        </is>
      </c>
      <c r="F131" s="257" t="inlineStr">
        <is>
          <t>-</t>
        </is>
      </c>
      <c r="G131" s="250" t="inlineStr">
        <is>
          <t>No Requiere</t>
        </is>
      </c>
    </row>
    <row r="132">
      <c r="A132" s="128" t="inlineStr">
        <is>
          <t>PH* - TEMPERATURA* - CLORO LIBRE (Campo)</t>
        </is>
      </c>
      <c r="B132" s="135" t="inlineStr">
        <is>
          <t>-</t>
        </is>
      </c>
      <c r="C132" s="13" t="inlineStr">
        <is>
          <t>Campo</t>
        </is>
      </c>
      <c r="D132" s="18" t="inlineStr">
        <is>
          <t>Campo</t>
        </is>
      </c>
      <c r="E132" s="13" t="inlineStr">
        <is>
          <t>.</t>
        </is>
      </c>
      <c r="F132" s="257" t="inlineStr">
        <is>
          <t>-</t>
        </is>
      </c>
      <c r="G132" s="250" t="inlineStr">
        <is>
          <t>No Requiere</t>
        </is>
      </c>
    </row>
    <row r="133">
      <c r="A133" s="128" t="inlineStr">
        <is>
          <t>PH* - TEMPERATURA* - CONDUCTIVIDAD</t>
        </is>
      </c>
      <c r="B133" s="135" t="inlineStr">
        <is>
          <t>P</t>
        </is>
      </c>
      <c r="C133" s="13" t="inlineStr">
        <is>
          <t>120 mL</t>
        </is>
      </c>
      <c r="D133" s="18" t="inlineStr">
        <is>
          <t>No Requiere</t>
        </is>
      </c>
      <c r="E133" s="13" t="inlineStr">
        <is>
          <t>.</t>
        </is>
      </c>
      <c r="F133" s="257" t="inlineStr">
        <is>
          <t>-</t>
        </is>
      </c>
      <c r="G133" s="250" t="inlineStr">
        <is>
          <t>No Requiere</t>
        </is>
      </c>
    </row>
    <row r="134">
      <c r="A134" s="129" t="inlineStr">
        <is>
          <t>PH* - TEMPERATURA* - CONDUCTIVIDAD - CLORO LIBRE</t>
        </is>
      </c>
      <c r="B134" s="135" t="inlineStr">
        <is>
          <t>P</t>
        </is>
      </c>
      <c r="C134" s="13" t="inlineStr">
        <is>
          <t>120 mL</t>
        </is>
      </c>
      <c r="D134" s="1" t="inlineStr">
        <is>
          <t>No Requiere</t>
        </is>
      </c>
      <c r="E134" s="13" t="inlineStr">
        <is>
          <t>.</t>
        </is>
      </c>
      <c r="F134" s="257" t="inlineStr">
        <is>
          <t>-</t>
        </is>
      </c>
      <c r="G134" s="246" t="inlineStr">
        <is>
          <t>No Requiere</t>
        </is>
      </c>
    </row>
    <row r="135">
      <c r="A135" s="126" t="inlineStr">
        <is>
          <t>PH* - TEMPERATURA* - CONDUCTIVIDAD (Campo)</t>
        </is>
      </c>
      <c r="B135" s="136" t="inlineStr">
        <is>
          <t>-</t>
        </is>
      </c>
      <c r="C135" s="17" t="inlineStr">
        <is>
          <t>Campo</t>
        </is>
      </c>
      <c r="D135" s="20" t="inlineStr">
        <is>
          <t>Campo</t>
        </is>
      </c>
      <c r="E135" s="17" t="inlineStr">
        <is>
          <t>.</t>
        </is>
      </c>
      <c r="F135" s="257" t="inlineStr">
        <is>
          <t>-</t>
        </is>
      </c>
      <c r="G135" s="251" t="inlineStr">
        <is>
          <t>No Requiere</t>
        </is>
      </c>
    </row>
    <row r="136">
      <c r="A136" s="126" t="inlineStr">
        <is>
          <t>PH* - TEMPERATURA* (Campo)</t>
        </is>
      </c>
      <c r="B136" s="136" t="inlineStr">
        <is>
          <t>-</t>
        </is>
      </c>
      <c r="C136" s="17" t="inlineStr">
        <is>
          <t>Campo</t>
        </is>
      </c>
      <c r="D136" s="20" t="inlineStr">
        <is>
          <t>Campo</t>
        </is>
      </c>
      <c r="E136" s="17" t="inlineStr">
        <is>
          <t>.</t>
        </is>
      </c>
      <c r="F136" s="257" t="inlineStr">
        <is>
          <t>-</t>
        </is>
      </c>
      <c r="G136" s="251" t="inlineStr">
        <is>
          <t>No Requiere</t>
        </is>
      </c>
    </row>
    <row r="137">
      <c r="A137" s="126" t="inlineStr">
        <is>
          <t>PSEUDOMONAS AERUGINOSA</t>
        </is>
      </c>
      <c r="B137" s="136" t="inlineStr">
        <is>
          <t>P</t>
        </is>
      </c>
      <c r="C137" s="17" t="inlineStr">
        <is>
          <t>120 mL</t>
        </is>
      </c>
      <c r="D137" s="20" t="inlineStr">
        <is>
          <t>No Requiere</t>
        </is>
      </c>
      <c r="E137" s="17" t="inlineStr">
        <is>
          <t>.</t>
        </is>
      </c>
      <c r="F137" s="257" t="inlineStr">
        <is>
          <t>-</t>
        </is>
      </c>
      <c r="G137" s="251" t="inlineStr">
        <is>
          <t>No Requiere</t>
        </is>
      </c>
    </row>
    <row r="138">
      <c r="A138" s="121" t="inlineStr">
        <is>
          <t>RUIDO</t>
        </is>
      </c>
      <c r="B138" s="135" t="inlineStr">
        <is>
          <t>-</t>
        </is>
      </c>
      <c r="C138" s="13" t="inlineStr">
        <is>
          <t>-</t>
        </is>
      </c>
      <c r="D138" s="1" t="inlineStr">
        <is>
          <t>-</t>
        </is>
      </c>
      <c r="E138" s="13" t="inlineStr">
        <is>
          <t>-</t>
        </is>
      </c>
      <c r="F138" s="254" t="inlineStr">
        <is>
          <t>-</t>
        </is>
      </c>
      <c r="G138" s="246" t="inlineStr">
        <is>
          <t>-</t>
        </is>
      </c>
    </row>
    <row r="139">
      <c r="A139" s="121" t="inlineStr">
        <is>
          <t>RUIDO 24 HORAS</t>
        </is>
      </c>
      <c r="B139" s="135" t="inlineStr">
        <is>
          <t>-</t>
        </is>
      </c>
      <c r="C139" s="13" t="inlineStr">
        <is>
          <t>-</t>
        </is>
      </c>
      <c r="D139" s="1" t="inlineStr">
        <is>
          <t>-</t>
        </is>
      </c>
      <c r="E139" s="13" t="inlineStr">
        <is>
          <t>-</t>
        </is>
      </c>
      <c r="F139" s="254" t="inlineStr">
        <is>
          <t>-</t>
        </is>
      </c>
      <c r="G139" s="246" t="inlineStr">
        <is>
          <t>-</t>
        </is>
      </c>
    </row>
    <row r="140">
      <c r="A140" s="121" t="inlineStr">
        <is>
          <t>RUIDO DIURNO</t>
        </is>
      </c>
      <c r="B140" s="135" t="inlineStr">
        <is>
          <t>-</t>
        </is>
      </c>
      <c r="C140" s="13" t="inlineStr">
        <is>
          <t>-</t>
        </is>
      </c>
      <c r="D140" s="1" t="inlineStr">
        <is>
          <t>-</t>
        </is>
      </c>
      <c r="E140" s="13" t="inlineStr">
        <is>
          <t>-</t>
        </is>
      </c>
      <c r="F140" s="254" t="inlineStr">
        <is>
          <t>-</t>
        </is>
      </c>
      <c r="G140" s="246" t="inlineStr">
        <is>
          <t>-</t>
        </is>
      </c>
    </row>
    <row r="141">
      <c r="A141" s="121" t="inlineStr">
        <is>
          <t>RUIDO NOCTURNO</t>
        </is>
      </c>
      <c r="B141" s="135" t="inlineStr">
        <is>
          <t>-</t>
        </is>
      </c>
      <c r="C141" s="13" t="inlineStr">
        <is>
          <t>-</t>
        </is>
      </c>
      <c r="D141" s="1" t="inlineStr">
        <is>
          <t>-</t>
        </is>
      </c>
      <c r="E141" s="13" t="inlineStr">
        <is>
          <t>-</t>
        </is>
      </c>
      <c r="F141" s="254" t="inlineStr">
        <is>
          <t>-</t>
        </is>
      </c>
      <c r="G141" s="246" t="inlineStr">
        <is>
          <t>-</t>
        </is>
      </c>
    </row>
    <row r="142">
      <c r="A142" s="121" t="inlineStr">
        <is>
          <t>SABOR</t>
        </is>
      </c>
      <c r="B142" s="135" t="inlineStr">
        <is>
          <t>V.A</t>
        </is>
      </c>
      <c r="C142" s="13" t="inlineStr">
        <is>
          <t>500 mL</t>
        </is>
      </c>
      <c r="D142" s="1" t="inlineStr">
        <is>
          <t>No Requiere</t>
        </is>
      </c>
      <c r="E142" s="13" t="inlineStr">
        <is>
          <t>.</t>
        </is>
      </c>
      <c r="F142" s="257" t="inlineStr">
        <is>
          <t>-</t>
        </is>
      </c>
      <c r="G142" s="246" t="inlineStr">
        <is>
          <t>No Requiere</t>
        </is>
      </c>
    </row>
    <row r="143">
      <c r="A143" s="121" t="inlineStr">
        <is>
          <t>SALINIDAD</t>
        </is>
      </c>
      <c r="B143" s="135" t="inlineStr">
        <is>
          <t>V</t>
        </is>
      </c>
      <c r="C143" s="13" t="inlineStr">
        <is>
          <t>500 mL</t>
        </is>
      </c>
      <c r="D143" s="1" t="inlineStr">
        <is>
          <t>No Requiere</t>
        </is>
      </c>
      <c r="E143" s="13" t="inlineStr">
        <is>
          <t>.</t>
        </is>
      </c>
      <c r="F143" s="254" t="n">
        <v>1</v>
      </c>
      <c r="G143" s="246" t="inlineStr">
        <is>
          <t>Frasco adicional</t>
        </is>
      </c>
    </row>
    <row r="144">
      <c r="A144" s="121" t="inlineStr">
        <is>
          <t>SALMONELLA*</t>
        </is>
      </c>
      <c r="B144" s="135" t="inlineStr">
        <is>
          <t>P.E</t>
        </is>
      </c>
      <c r="C144" s="13" t="inlineStr">
        <is>
          <t>1 Lt</t>
        </is>
      </c>
      <c r="D144" s="1" t="inlineStr">
        <is>
          <t>No Requiere</t>
        </is>
      </c>
      <c r="E144" s="13" t="inlineStr">
        <is>
          <t>.</t>
        </is>
      </c>
      <c r="F144" s="254" t="n">
        <v>2</v>
      </c>
      <c r="G144" s="246" t="inlineStr">
        <is>
          <t>Frascos P.E adicionales</t>
        </is>
      </c>
    </row>
    <row r="145">
      <c r="A145" s="121" t="inlineStr">
        <is>
          <t>SILICE, SILICATO</t>
        </is>
      </c>
      <c r="B145" s="135" t="inlineStr">
        <is>
          <t>P</t>
        </is>
      </c>
      <c r="C145" s="13" t="inlineStr">
        <is>
          <t>250 mL</t>
        </is>
      </c>
      <c r="D145" s="1" t="inlineStr">
        <is>
          <t>No Requiere</t>
        </is>
      </c>
      <c r="E145" s="13" t="inlineStr">
        <is>
          <t>.</t>
        </is>
      </c>
      <c r="F145" s="254" t="n">
        <v>3</v>
      </c>
      <c r="G145" s="246" t="inlineStr">
        <is>
          <t>Frascos adicionales</t>
        </is>
      </c>
    </row>
    <row r="146">
      <c r="A146" s="126" t="inlineStr">
        <is>
          <t>SODIO</t>
        </is>
      </c>
      <c r="B146" s="136" t="inlineStr">
        <is>
          <t>P</t>
        </is>
      </c>
      <c r="C146" s="17" t="inlineStr">
        <is>
          <t>120 mL</t>
        </is>
      </c>
      <c r="D146" s="20" t="inlineStr">
        <is>
          <t>No requiere</t>
        </is>
      </c>
      <c r="E146" s="17" t="inlineStr">
        <is>
          <t>.</t>
        </is>
      </c>
      <c r="F146" s="254" t="inlineStr">
        <is>
          <t>-</t>
        </is>
      </c>
      <c r="G146" s="251" t="inlineStr">
        <is>
          <t>No requiere</t>
        </is>
      </c>
    </row>
    <row r="147">
      <c r="A147" s="121" t="inlineStr">
        <is>
          <t>SOLIDOS SEDIMENTABLES (SS)*</t>
        </is>
      </c>
      <c r="B147" s="135" t="inlineStr">
        <is>
          <t>P</t>
        </is>
      </c>
      <c r="C147" s="13" t="inlineStr">
        <is>
          <t>1 Lt</t>
        </is>
      </c>
      <c r="D147" s="1" t="inlineStr">
        <is>
          <t>No Requiere</t>
        </is>
      </c>
      <c r="E147" s="242" t="inlineStr">
        <is>
          <t>.</t>
        </is>
      </c>
      <c r="F147" s="254" t="n">
        <v>1</v>
      </c>
      <c r="G147" s="246" t="inlineStr">
        <is>
          <t>Frasco de adicional</t>
        </is>
      </c>
    </row>
    <row r="148">
      <c r="A148" s="126" t="inlineStr">
        <is>
          <t>SOLIDOS SUSPENDIDOS TOTALES (TSS)*</t>
        </is>
      </c>
      <c r="B148" s="136" t="inlineStr">
        <is>
          <t>P</t>
        </is>
      </c>
      <c r="C148" s="17" t="inlineStr">
        <is>
          <t>1 Lt</t>
        </is>
      </c>
      <c r="D148" s="20" t="inlineStr">
        <is>
          <t>No Requiere</t>
        </is>
      </c>
      <c r="E148" s="17" t="inlineStr">
        <is>
          <t>.</t>
        </is>
      </c>
      <c r="F148" s="254" t="n">
        <v>1</v>
      </c>
      <c r="G148" s="246" t="inlineStr">
        <is>
          <t>Frasco de adicional</t>
        </is>
      </c>
    </row>
    <row r="149">
      <c r="A149" s="121" t="inlineStr">
        <is>
          <t>SOLIDOS TOTALES (ST)*</t>
        </is>
      </c>
      <c r="B149" s="135" t="inlineStr">
        <is>
          <t>P</t>
        </is>
      </c>
      <c r="C149" s="13" t="inlineStr">
        <is>
          <t>1 Lt</t>
        </is>
      </c>
      <c r="D149" s="1" t="inlineStr">
        <is>
          <t>No Requiere</t>
        </is>
      </c>
      <c r="E149" s="242" t="inlineStr">
        <is>
          <t>.</t>
        </is>
      </c>
      <c r="F149" s="257" t="inlineStr">
        <is>
          <t>-</t>
        </is>
      </c>
      <c r="G149" s="246" t="inlineStr">
        <is>
          <t>No Requiere</t>
        </is>
      </c>
    </row>
    <row r="150">
      <c r="A150" s="121" t="inlineStr">
        <is>
          <t>SOLIDOS TOTALES DISUELTOS (TDS)*</t>
        </is>
      </c>
      <c r="B150" s="135" t="inlineStr">
        <is>
          <t>P</t>
        </is>
      </c>
      <c r="C150" s="13" t="inlineStr">
        <is>
          <t>1 Lt</t>
        </is>
      </c>
      <c r="D150" s="20" t="inlineStr">
        <is>
          <t>No Requiere</t>
        </is>
      </c>
      <c r="E150" s="17" t="inlineStr">
        <is>
          <t>.</t>
        </is>
      </c>
      <c r="F150" s="257" t="inlineStr">
        <is>
          <t>-</t>
        </is>
      </c>
      <c r="G150" s="251" t="inlineStr">
        <is>
          <t>No Requiere</t>
        </is>
      </c>
    </row>
    <row r="151">
      <c r="A151" s="121" t="inlineStr">
        <is>
          <t>SULFATOS*</t>
        </is>
      </c>
      <c r="B151" s="135" t="inlineStr">
        <is>
          <t>P</t>
        </is>
      </c>
      <c r="C151" s="13" t="inlineStr">
        <is>
          <t>500 mL</t>
        </is>
      </c>
      <c r="D151" s="1" t="inlineStr">
        <is>
          <t>No Requiere</t>
        </is>
      </c>
      <c r="E151" s="13" t="inlineStr">
        <is>
          <t>.</t>
        </is>
      </c>
      <c r="F151" s="257" t="inlineStr">
        <is>
          <t>-</t>
        </is>
      </c>
      <c r="G151" s="251" t="inlineStr">
        <is>
          <t>No Requiere</t>
        </is>
      </c>
    </row>
    <row r="152">
      <c r="A152" s="121" t="inlineStr">
        <is>
          <t xml:space="preserve">SULFURO DE HIDROGENO </t>
        </is>
      </c>
      <c r="B152" s="135" t="inlineStr">
        <is>
          <t>P</t>
        </is>
      </c>
      <c r="C152" s="13" t="inlineStr">
        <is>
          <t>120 mL</t>
        </is>
      </c>
      <c r="D152" s="1" t="inlineStr">
        <is>
          <t>NaOH 6N + Acetato de Zn</t>
        </is>
      </c>
      <c r="E152" s="13" t="inlineStr">
        <is>
          <t xml:space="preserve">7 (G*) </t>
        </is>
      </c>
      <c r="F152" s="254" t="n">
        <v>3</v>
      </c>
      <c r="G152" s="246" t="inlineStr">
        <is>
          <t>Frascos adicionales</t>
        </is>
      </c>
    </row>
    <row r="153">
      <c r="A153" s="121" t="inlineStr">
        <is>
          <t>SULFUROS*</t>
        </is>
      </c>
      <c r="B153" s="135" t="inlineStr">
        <is>
          <t>P</t>
        </is>
      </c>
      <c r="C153" s="13" t="inlineStr">
        <is>
          <t>500 mL</t>
        </is>
      </c>
      <c r="D153" s="1" t="inlineStr">
        <is>
          <t>NaOH 6N + Acetato de Zn</t>
        </is>
      </c>
      <c r="E153" s="13" t="inlineStr">
        <is>
          <t xml:space="preserve">7 (G*) </t>
        </is>
      </c>
      <c r="F153" s="257" t="inlineStr">
        <is>
          <t>-</t>
        </is>
      </c>
      <c r="G153" s="246" t="inlineStr">
        <is>
          <t>No requiere</t>
        </is>
      </c>
    </row>
    <row r="154">
      <c r="A154" s="121" t="inlineStr">
        <is>
          <t>TEMPERATURA</t>
        </is>
      </c>
      <c r="B154" s="135" t="inlineStr">
        <is>
          <t>P</t>
        </is>
      </c>
      <c r="C154" s="13" t="inlineStr">
        <is>
          <t>120 mL</t>
        </is>
      </c>
      <c r="D154" s="1" t="inlineStr">
        <is>
          <t>Analizar inmediatamente</t>
        </is>
      </c>
      <c r="E154" s="13" t="inlineStr">
        <is>
          <t>.</t>
        </is>
      </c>
      <c r="F154" s="257" t="inlineStr">
        <is>
          <t>-</t>
        </is>
      </c>
      <c r="G154" s="246" t="inlineStr">
        <is>
          <t>No requiere</t>
        </is>
      </c>
    </row>
    <row r="155">
      <c r="A155" s="121" t="inlineStr">
        <is>
          <t>TEMPERATURA* (Campo)</t>
        </is>
      </c>
      <c r="B155" s="135" t="inlineStr">
        <is>
          <t>-</t>
        </is>
      </c>
      <c r="C155" s="13" t="inlineStr">
        <is>
          <t>Campo</t>
        </is>
      </c>
      <c r="D155" s="1" t="inlineStr">
        <is>
          <t>Campo</t>
        </is>
      </c>
      <c r="E155" s="13" t="inlineStr">
        <is>
          <t>.</t>
        </is>
      </c>
      <c r="F155" s="257" t="inlineStr">
        <is>
          <t>-</t>
        </is>
      </c>
      <c r="G155" s="246" t="inlineStr">
        <is>
          <t>No Requiere</t>
        </is>
      </c>
    </row>
    <row r="156">
      <c r="A156" s="203" t="inlineStr">
        <is>
          <t>TIOCIANATO</t>
        </is>
      </c>
      <c r="B156" s="135" t="inlineStr">
        <is>
          <t>P</t>
        </is>
      </c>
      <c r="C156" s="13" t="inlineStr">
        <is>
          <t>500 mL</t>
        </is>
      </c>
      <c r="D156" s="1" t="inlineStr">
        <is>
          <t>No Requiere</t>
        </is>
      </c>
      <c r="E156" s="13" t="inlineStr">
        <is>
          <t>.</t>
        </is>
      </c>
      <c r="F156" s="257" t="inlineStr">
        <is>
          <t>-</t>
        </is>
      </c>
      <c r="G156" s="246" t="inlineStr">
        <is>
          <t>No Requiere</t>
        </is>
      </c>
    </row>
    <row r="157">
      <c r="A157" s="121" t="inlineStr">
        <is>
          <t>TURBIEDAD*</t>
        </is>
      </c>
      <c r="B157" s="135" t="inlineStr">
        <is>
          <t>P</t>
        </is>
      </c>
      <c r="C157" s="13" t="inlineStr">
        <is>
          <t>120 mL</t>
        </is>
      </c>
      <c r="D157" s="1" t="inlineStr">
        <is>
          <t>No Requiere</t>
        </is>
      </c>
      <c r="E157" s="13" t="inlineStr">
        <is>
          <t>.</t>
        </is>
      </c>
      <c r="F157" s="257" t="inlineStr">
        <is>
          <t>-</t>
        </is>
      </c>
      <c r="G157" s="246" t="inlineStr">
        <is>
          <t>No Requiere</t>
        </is>
      </c>
    </row>
    <row r="158">
      <c r="A158" s="204" t="inlineStr">
        <is>
          <t>VIRUS*</t>
        </is>
      </c>
      <c r="B158" s="214" t="inlineStr">
        <is>
          <t>V.E</t>
        </is>
      </c>
      <c r="C158" s="16" t="inlineStr">
        <is>
          <t>500 mL</t>
        </is>
      </c>
      <c r="D158" s="18" t="inlineStr">
        <is>
          <t>No Requiere</t>
        </is>
      </c>
      <c r="E158" s="16" t="inlineStr">
        <is>
          <t>.</t>
        </is>
      </c>
      <c r="F158" s="257" t="inlineStr">
        <is>
          <t>-</t>
        </is>
      </c>
      <c r="G158" s="250" t="inlineStr">
        <is>
          <t>No Requiere</t>
        </is>
      </c>
    </row>
    <row r="159">
      <c r="A159" s="213" t="inlineStr">
        <is>
          <t>VIBRIO CHOLERAE</t>
        </is>
      </c>
      <c r="B159" s="215" t="inlineStr">
        <is>
          <t>P.E</t>
        </is>
      </c>
      <c r="C159" s="215" t="inlineStr">
        <is>
          <t>1 LT</t>
        </is>
      </c>
      <c r="D159" s="217" t="inlineStr">
        <is>
          <t>TIO</t>
        </is>
      </c>
      <c r="E159" s="243" t="inlineStr">
        <is>
          <t>.</t>
        </is>
      </c>
      <c r="F159" s="257" t="inlineStr">
        <is>
          <t>-</t>
        </is>
      </c>
      <c r="G159" s="218" t="inlineStr">
        <is>
          <t>No Requiere</t>
        </is>
      </c>
    </row>
    <row r="160">
      <c r="A160" s="213" t="inlineStr">
        <is>
          <t>MATERIALES FLOTANTES DE ORIGEN ANTROPOGENICO</t>
        </is>
      </c>
      <c r="B160" s="116" t="inlineStr">
        <is>
          <t>P</t>
        </is>
      </c>
      <c r="C160" s="116" t="inlineStr">
        <is>
          <t>1 Lt</t>
        </is>
      </c>
      <c r="D160" s="118" t="inlineStr">
        <is>
          <t>No Requiere</t>
        </is>
      </c>
      <c r="E160" s="244" t="inlineStr">
        <is>
          <t>.</t>
        </is>
      </c>
      <c r="F160" s="257" t="inlineStr">
        <is>
          <t>-</t>
        </is>
      </c>
      <c r="G160" s="216" t="inlineStr">
        <is>
          <t>No Requiere</t>
        </is>
      </c>
    </row>
    <row r="161">
      <c r="A161" s="213" t="inlineStr">
        <is>
          <t>FORMAS PARASITARIAS</t>
        </is>
      </c>
      <c r="B161" s="215" t="inlineStr">
        <is>
          <t>P.E</t>
        </is>
      </c>
      <c r="C161" s="215" t="inlineStr">
        <is>
          <t>1 LT</t>
        </is>
      </c>
      <c r="D161" s="217" t="inlineStr">
        <is>
          <t>No Requiere</t>
        </is>
      </c>
      <c r="E161" s="243" t="inlineStr">
        <is>
          <t>.</t>
        </is>
      </c>
      <c r="F161" s="257" t="inlineStr">
        <is>
          <t>-</t>
        </is>
      </c>
      <c r="G161" s="218" t="inlineStr">
        <is>
          <t>No Requiere</t>
        </is>
      </c>
    </row>
    <row r="162">
      <c r="A162" s="213" t="inlineStr">
        <is>
          <t>DOSIS DE REFERENCIA</t>
        </is>
      </c>
      <c r="B162" s="215" t="inlineStr">
        <is>
          <t>P</t>
        </is>
      </c>
      <c r="C162" s="215" t="inlineStr">
        <is>
          <t>1 Lt</t>
        </is>
      </c>
      <c r="D162" s="217" t="inlineStr">
        <is>
          <t>No Requiere</t>
        </is>
      </c>
      <c r="E162" s="243" t="inlineStr">
        <is>
          <t>.</t>
        </is>
      </c>
      <c r="F162" s="257" t="inlineStr">
        <is>
          <t>-</t>
        </is>
      </c>
      <c r="G162" s="218" t="inlineStr">
        <is>
          <t>No Requiere</t>
        </is>
      </c>
    </row>
    <row r="163">
      <c r="A163" s="213" t="inlineStr">
        <is>
          <t>Recuento de microorganismos aerobios mesófilos</t>
        </is>
      </c>
      <c r="B163" s="215" t="inlineStr">
        <is>
          <t>P.E</t>
        </is>
      </c>
      <c r="C163" s="13" t="inlineStr">
        <is>
          <t>500 mL</t>
        </is>
      </c>
      <c r="D163" s="217" t="inlineStr">
        <is>
          <t>No Requiere</t>
        </is>
      </c>
      <c r="E163" s="243" t="inlineStr">
        <is>
          <t>.</t>
        </is>
      </c>
      <c r="F163" s="257" t="inlineStr">
        <is>
          <t>-</t>
        </is>
      </c>
      <c r="G163" s="218" t="inlineStr">
        <is>
          <t>No Requiere</t>
        </is>
      </c>
    </row>
    <row r="164">
      <c r="A164" s="213" t="inlineStr">
        <is>
          <t>Recuento de mohos y levaduras</t>
        </is>
      </c>
      <c r="B164" s="215" t="inlineStr">
        <is>
          <t>P.E</t>
        </is>
      </c>
      <c r="C164" s="13" t="inlineStr">
        <is>
          <t>500 mL</t>
        </is>
      </c>
      <c r="D164" s="217" t="inlineStr">
        <is>
          <t>No Requiere</t>
        </is>
      </c>
      <c r="E164" s="243" t="inlineStr">
        <is>
          <t>.</t>
        </is>
      </c>
      <c r="F164" s="257" t="inlineStr">
        <is>
          <t>-</t>
        </is>
      </c>
      <c r="G164" s="218" t="inlineStr">
        <is>
          <t>No Requiere</t>
        </is>
      </c>
    </row>
    <row r="165">
      <c r="A165" s="213" t="inlineStr">
        <is>
          <t>ENUMERACIÓN DE BACTERIAS ANAEROBIAS SULFITO REDUCTORES</t>
        </is>
      </c>
      <c r="B165" s="215" t="inlineStr">
        <is>
          <t>P.E</t>
        </is>
      </c>
      <c r="C165" s="13" t="inlineStr">
        <is>
          <t>500 mL</t>
        </is>
      </c>
      <c r="D165" s="217" t="inlineStr">
        <is>
          <t>No Requiere</t>
        </is>
      </c>
      <c r="E165" s="243" t="inlineStr">
        <is>
          <t>.</t>
        </is>
      </c>
      <c r="F165" s="257" t="inlineStr">
        <is>
          <t>-</t>
        </is>
      </c>
      <c r="G165" s="218" t="inlineStr">
        <is>
          <t>No Requiere</t>
        </is>
      </c>
    </row>
    <row r="166">
      <c r="A166" s="224" t="inlineStr">
        <is>
          <t>HUMEDAD</t>
        </is>
      </c>
      <c r="B166" s="215" t="inlineStr">
        <is>
          <t>V.A.</t>
        </is>
      </c>
      <c r="C166" s="13" t="inlineStr">
        <is>
          <t>1 Lt</t>
        </is>
      </c>
      <c r="D166" s="217" t="inlineStr">
        <is>
          <t>No Requiere</t>
        </is>
      </c>
      <c r="E166" s="243" t="inlineStr">
        <is>
          <t>.</t>
        </is>
      </c>
      <c r="F166" s="257" t="inlineStr">
        <is>
          <t>-</t>
        </is>
      </c>
      <c r="G166" s="218" t="inlineStr">
        <is>
          <t>No Requiere</t>
        </is>
      </c>
    </row>
    <row r="167">
      <c r="A167" s="224" t="inlineStr">
        <is>
          <t>CLOSTRIDIUM PERFRINGENS Y ESPORAS</t>
        </is>
      </c>
      <c r="B167" s="215" t="inlineStr">
        <is>
          <t>P.E</t>
        </is>
      </c>
      <c r="C167" s="13" t="inlineStr">
        <is>
          <t>500 mL</t>
        </is>
      </c>
      <c r="D167" s="217" t="inlineStr">
        <is>
          <t>No Requiere</t>
        </is>
      </c>
      <c r="E167" s="243" t="inlineStr">
        <is>
          <t>.</t>
        </is>
      </c>
      <c r="F167" s="257" t="inlineStr">
        <is>
          <t>-</t>
        </is>
      </c>
      <c r="G167" s="218" t="inlineStr">
        <is>
          <t>No Requiere</t>
        </is>
      </c>
    </row>
    <row r="168" ht="15" customHeight="1" thickBot="1">
      <c r="A168" s="224" t="inlineStr">
        <is>
          <t>CLOSTRIDIUM SULFITO REDUCTOR</t>
        </is>
      </c>
      <c r="B168" s="215" t="inlineStr">
        <is>
          <t>P.E</t>
        </is>
      </c>
      <c r="C168" s="13" t="inlineStr">
        <is>
          <t>500 mL</t>
        </is>
      </c>
      <c r="D168" s="217" t="inlineStr">
        <is>
          <t>No Requiere</t>
        </is>
      </c>
      <c r="E168" s="243" t="inlineStr">
        <is>
          <t>.</t>
        </is>
      </c>
      <c r="F168" s="259" t="inlineStr">
        <is>
          <t>-</t>
        </is>
      </c>
      <c r="G168" s="218" t="inlineStr">
        <is>
          <t>No Requiere</t>
        </is>
      </c>
    </row>
    <row r="169">
      <c r="A169" s="120" t="n"/>
    </row>
    <row r="170">
      <c r="A170" s="120" t="n"/>
    </row>
    <row r="171">
      <c r="A171" s="120" t="n"/>
    </row>
    <row r="172">
      <c r="A172" s="262" t="n"/>
    </row>
    <row r="173">
      <c r="A173" s="213" t="n"/>
    </row>
    <row r="175">
      <c r="D175" t="inlineStr">
        <is>
          <t>-</t>
        </is>
      </c>
    </row>
  </sheetData>
  <mergeCells count="2">
    <mergeCell ref="D1:E1"/>
    <mergeCell ref="F1:G1"/>
  </mergeCells>
  <pageMargins left="0.7" right="0.7" top="0.75" bottom="0.75" header="0.3" footer="0.3"/>
  <pageSetup orientation="portrait" paperSize="9" horizontalDpi="360" verticalDpi="360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B2:I34"/>
  <sheetViews>
    <sheetView zoomScale="85" zoomScaleNormal="85" workbookViewId="0">
      <selection activeCell="E26" sqref="E26"/>
    </sheetView>
  </sheetViews>
  <sheetFormatPr baseColWidth="10" defaultRowHeight="14.5"/>
  <cols>
    <col width="3.1796875" customWidth="1" min="1" max="1"/>
    <col width="76.1796875" customWidth="1" min="2" max="2"/>
    <col width="4.453125" customWidth="1" min="3" max="3"/>
    <col width="2.1796875" customWidth="1" min="4" max="4"/>
    <col width="20.81640625" customWidth="1" min="5" max="5"/>
    <col width="4.453125" customWidth="1" min="6" max="6"/>
    <col width="2.1796875" customWidth="1" min="7" max="7"/>
    <col width="20.81640625" customWidth="1" min="8" max="8"/>
    <col width="4.453125" customWidth="1" min="9" max="9"/>
  </cols>
  <sheetData>
    <row r="2" ht="18.75" customHeight="1">
      <c r="B2" s="140" t="inlineStr">
        <is>
          <t>MATRICES</t>
        </is>
      </c>
      <c r="C2" s="517" t="n">
        <v>100</v>
      </c>
      <c r="D2" s="89" t="n"/>
      <c r="E2" s="142" t="inlineStr">
        <is>
          <t>MUESTREADOR</t>
        </is>
      </c>
      <c r="F2" s="442" t="n">
        <v>50</v>
      </c>
      <c r="H2" s="143" t="inlineStr">
        <is>
          <t>COMERCIALES</t>
        </is>
      </c>
      <c r="I2" s="518" t="n">
        <v>100</v>
      </c>
    </row>
    <row r="3" ht="19.5" customHeight="1" thickBot="1">
      <c r="B3" s="138" t="n"/>
      <c r="C3" s="519" t="n"/>
      <c r="D3" s="89" t="n"/>
      <c r="E3" s="141" t="n"/>
      <c r="H3" s="119" t="n"/>
      <c r="I3" s="519" t="n"/>
    </row>
    <row r="4">
      <c r="B4" s="139" t="inlineStr">
        <is>
          <t>1. AGUA NATURAL -  SUBTERRANEA / AN-1</t>
        </is>
      </c>
      <c r="E4" t="inlineStr">
        <is>
          <t>CLIENTE</t>
        </is>
      </c>
      <c r="H4" s="91" t="inlineStr">
        <is>
          <t>GABRIELA JARA</t>
        </is>
      </c>
    </row>
    <row r="5">
      <c r="B5" s="121" t="inlineStr">
        <is>
          <t>2. AGUA NATURAL - SUPERFICIAL / AN-2</t>
        </is>
      </c>
      <c r="E5" t="inlineStr">
        <is>
          <t>LABORATORIO</t>
        </is>
      </c>
      <c r="H5" s="90" t="inlineStr">
        <is>
          <t>ESTEFANY SANCHEZ</t>
        </is>
      </c>
    </row>
    <row r="6">
      <c r="B6" s="121" t="inlineStr">
        <is>
          <t>3. AGUA RESIDUAL - DOMESTICA / AR-3</t>
        </is>
      </c>
      <c r="H6" s="199" t="inlineStr">
        <is>
          <t>GIANCARLO ÑAHUI</t>
        </is>
      </c>
    </row>
    <row r="7">
      <c r="B7" s="121" t="inlineStr">
        <is>
          <t>4. AGUA RESIDUAL - INDUSTRIAL / AR-4</t>
        </is>
      </c>
      <c r="H7" s="199" t="inlineStr">
        <is>
          <t>LUCIA ROMERO</t>
        </is>
      </c>
    </row>
    <row r="8">
      <c r="B8" s="121" t="inlineStr">
        <is>
          <t>5. AGUA RESIDUAL - MUNICIPAL  / AR-5</t>
        </is>
      </c>
      <c r="H8" s="90" t="inlineStr">
        <is>
          <t>MARILU ENRIQUEZ</t>
        </is>
      </c>
    </row>
    <row r="9">
      <c r="B9" s="121" t="inlineStr">
        <is>
          <t>6. AGUA PARA USO Y CONSUMO HUMANO - POTABLE / AC-6</t>
        </is>
      </c>
      <c r="H9" s="199" t="inlineStr">
        <is>
          <t>MONICA TAPIA</t>
        </is>
      </c>
    </row>
    <row r="10">
      <c r="B10" s="121" t="inlineStr">
        <is>
          <t>7. AGUA PARA USO Y CONSUMO HUMANO - DE MESA / AC-7</t>
        </is>
      </c>
      <c r="H10" s="199" t="inlineStr">
        <is>
          <t>NOHELY ROMAN</t>
        </is>
      </c>
    </row>
    <row r="11">
      <c r="B11" s="121" t="inlineStr">
        <is>
          <t>8. AGUA PARA USO Y CONSUMO HUMANO - ENVASADA / AC-8</t>
        </is>
      </c>
      <c r="H11" s="199" t="inlineStr">
        <is>
          <t>PEDRO</t>
        </is>
      </c>
    </row>
    <row r="12">
      <c r="B12" s="121" t="inlineStr">
        <is>
          <t>9. AGUA PARA USO Y CONSUMO HUMANO - DE PISCINA / AC-9</t>
        </is>
      </c>
      <c r="H12" s="90" t="inlineStr">
        <is>
          <t>TATIANA OLANO</t>
        </is>
      </c>
    </row>
    <row r="13">
      <c r="B13" s="121" t="inlineStr">
        <is>
          <t>10. AGUA PARA USO Y CONSUMO HUMANO - LAGUNA ARTIFICIAL /AC-10</t>
        </is>
      </c>
      <c r="H13" s="90" t="inlineStr">
        <is>
          <t>YUDISA MALQUI</t>
        </is>
      </c>
    </row>
    <row r="14">
      <c r="B14" s="121" t="inlineStr">
        <is>
          <t>11. AGUAS SALINAS -  MAR / AS-11</t>
        </is>
      </c>
      <c r="H14" s="200" t="inlineStr">
        <is>
          <t xml:space="preserve">JESRSON </t>
        </is>
      </c>
    </row>
    <row r="15">
      <c r="B15" s="121" t="inlineStr">
        <is>
          <t>12. AGUAS SALINAS -  SALOBRE / AS-12</t>
        </is>
      </c>
      <c r="H15" s="201" t="inlineStr">
        <is>
          <t>CRISTY CHU</t>
        </is>
      </c>
    </row>
    <row r="16">
      <c r="B16" s="121" t="inlineStr">
        <is>
          <t>13. AGUAS SALINAS -  SALMUERA / AS-13</t>
        </is>
      </c>
      <c r="H16" s="202" t="inlineStr">
        <is>
          <t>ABIGAIL SAYRITUPAC</t>
        </is>
      </c>
    </row>
    <row r="17">
      <c r="B17" s="121" t="inlineStr">
        <is>
          <t>14. AGUAS SALINAS -  INYECCIÓN Y REINYECCIÓN / AS-14</t>
        </is>
      </c>
      <c r="H17" s="201" t="inlineStr">
        <is>
          <t>MELISA ATIQUIPA</t>
        </is>
      </c>
    </row>
    <row r="18">
      <c r="B18" s="121" t="inlineStr">
        <is>
          <t>15. AGUA DE CIRCULACIÓN O ENFRIAMIENTO / AP-15</t>
        </is>
      </c>
      <c r="H18" s="202" t="inlineStr">
        <is>
          <t>ABIGAIL SAYRITUPAC</t>
        </is>
      </c>
    </row>
    <row r="19">
      <c r="B19" s="121" t="inlineStr">
        <is>
          <t>16. AGUA DE ALIMENTACIÓN PATRA CALDERAS / AP-16</t>
        </is>
      </c>
      <c r="H19" s="201" t="inlineStr">
        <is>
          <t>LUIS SANDOVAL</t>
        </is>
      </c>
    </row>
    <row r="20">
      <c r="B20" s="121" t="inlineStr">
        <is>
          <t>17. AGUA PURIFICADA / AP-17</t>
        </is>
      </c>
      <c r="H20" s="202" t="inlineStr">
        <is>
          <t>ARACELY PÉREZ</t>
        </is>
      </c>
    </row>
    <row r="21">
      <c r="B21" s="121" t="inlineStr">
        <is>
          <t>18. AGUA DE CALDERAS / AP-18</t>
        </is>
      </c>
      <c r="H21" s="202" t="inlineStr">
        <is>
          <t>CLARISA FERNÁNDEZ</t>
        </is>
      </c>
    </row>
    <row r="22">
      <c r="B22" s="121" t="inlineStr">
        <is>
          <t>19. AGUA DE LIXIVIACIÓN / AP-19</t>
        </is>
      </c>
      <c r="H22" s="228" t="inlineStr">
        <is>
          <t>CHRISTIAN HUAMANI</t>
        </is>
      </c>
    </row>
    <row r="23">
      <c r="B23" s="121" t="inlineStr">
        <is>
          <t>20. AGUA DE INYECCIÓN Y REINYECCIÓIN / AP-20</t>
        </is>
      </c>
    </row>
    <row r="24">
      <c r="B24" s="121" t="inlineStr">
        <is>
          <t>AGUA DE DIALISIS</t>
        </is>
      </c>
    </row>
    <row r="25">
      <c r="B25" s="121" t="inlineStr">
        <is>
          <t>AGUA DESTILADA</t>
        </is>
      </c>
    </row>
    <row r="26">
      <c r="B26" s="121" t="inlineStr">
        <is>
          <t xml:space="preserve">AGUA RESIDUAL </t>
        </is>
      </c>
    </row>
    <row r="27">
      <c r="B27" s="121" t="inlineStr">
        <is>
          <t xml:space="preserve">AGUA TRATADA </t>
        </is>
      </c>
    </row>
    <row r="28">
      <c r="B28" t="inlineStr">
        <is>
          <t>ECA AGUA- CATE. 1- POBLACIONAL Y RECREACIONAL</t>
        </is>
      </c>
    </row>
    <row r="29">
      <c r="B29" t="inlineStr">
        <is>
          <t>ECA AGUA- CATE. 2- EXTRACCION, CULTIVO Y OTRAS ACTIVIDADES MARINO COSTERAS</t>
        </is>
      </c>
    </row>
    <row r="30">
      <c r="B30" t="inlineStr">
        <is>
          <t>ECA AGUA- CATE. 3- RIEGO DE VEGETALES Y BEBIDA DE ANIMALES</t>
        </is>
      </c>
    </row>
    <row r="31">
      <c r="B31" t="inlineStr">
        <is>
          <t xml:space="preserve">ECA AGUA- CATE. 4- CONSERVACION DEL AMBIENTE ACUATICO </t>
        </is>
      </c>
    </row>
    <row r="32">
      <c r="B32" t="inlineStr">
        <is>
          <t>Recuento de microorganismos aerobios mesófilos</t>
        </is>
      </c>
    </row>
    <row r="33">
      <c r="B33" t="inlineStr">
        <is>
          <t>Recuento de mohos y levaduras</t>
        </is>
      </c>
    </row>
    <row r="34">
      <c r="B34" s="223" t="inlineStr">
        <is>
          <t>ENUMERACIÓN DE BACTERIAS ANAEROBIAS SULFITO REDUCTORES</t>
        </is>
      </c>
    </row>
  </sheetData>
  <mergeCells count="3">
    <mergeCell ref="C2:C3"/>
    <mergeCell ref="F2:F3"/>
    <mergeCell ref="I2:I3"/>
  </mergeCells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MARTHA ISABEL</dc:creator>
  <dcterms:created xmlns:dcterms="http://purl.org/dc/terms/" xmlns:xsi="http://www.w3.org/2001/XMLSchema-instance" xsi:type="dcterms:W3CDTF">2011-03-05T13:24:35Z</dcterms:created>
  <dcterms:modified xmlns:dcterms="http://purl.org/dc/terms/" xmlns:xsi="http://www.w3.org/2001/XMLSchema-instance" xsi:type="dcterms:W3CDTF">2026-06-02T15:13:55Z</dcterms:modified>
  <cp:lastModifiedBy>Alex Victor  Sanchez Garcia</cp:lastModifiedBy>
  <cp:lastPrinted>2026-02-07T17:16:02Z</cp:lastPrinted>
</cp:coreProperties>
</file>