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lan de muestreo\"/>
    </mc:Choice>
  </mc:AlternateContent>
  <xr:revisionPtr revIDLastSave="0" documentId="8_{4E64392A-CD89-42BB-A11A-DBEB6F0E550C}" xr6:coauthVersionLast="47" xr6:coauthVersionMax="47" xr10:uidLastSave="{00000000-0000-0000-0000-000000000000}"/>
  <bookViews>
    <workbookView xWindow="-110" yWindow="-110" windowWidth="19420" windowHeight="10300" tabRatio="440" xr2:uid="{00000000-000D-0000-FFFF-FFFF00000000}"/>
  </bookViews>
  <sheets>
    <sheet name="PLAN DE MUESTREO-AGUA" sheetId="2" r:id="rId1"/>
    <sheet name="Hoja1" sheetId="8" state="hidden" r:id="rId2"/>
    <sheet name="PARAMETROS" sheetId="7" r:id="rId3"/>
    <sheet name="MATRIZ" sheetId="6" r:id="rId4"/>
  </sheets>
  <definedNames>
    <definedName name="_xlnm._FilterDatabase" localSheetId="2" hidden="1">PARAMETROS!$B$2:$G$168</definedName>
    <definedName name="_xleta.AND" hidden="1" xlm="1">#NAME?</definedName>
    <definedName name="_xlnm.Print_Area" localSheetId="0">'PLAN DE MUESTREO-AGUA'!$A$1:$AD$87</definedName>
    <definedName name="COMERCIALES">Tabla6[COMERCIALES]</definedName>
    <definedName name="MATRICES">Tabla4[MATRICES]</definedName>
    <definedName name="MUESTREADOR">Tabla5[MUESTREADOR]</definedName>
    <definedName name="PARAMETROS">Tabla1[PARAMETRO]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8" i="2" l="1"/>
  <c r="Z38" i="2"/>
  <c r="W38" i="2"/>
  <c r="V38" i="2"/>
  <c r="S38" i="2"/>
  <c r="R38" i="2"/>
  <c r="A38" i="2"/>
  <c r="AB35" i="2"/>
  <c r="Z35" i="2"/>
  <c r="W35" i="2"/>
  <c r="V35" i="2"/>
  <c r="S35" i="2"/>
  <c r="R35" i="2"/>
  <c r="A35" i="2"/>
  <c r="AB36" i="2"/>
  <c r="Z36" i="2"/>
  <c r="W36" i="2"/>
  <c r="V36" i="2"/>
  <c r="S36" i="2"/>
  <c r="R36" i="2"/>
  <c r="A36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7" i="2"/>
  <c r="A39" i="2"/>
  <c r="A40" i="2"/>
  <c r="A41" i="2"/>
  <c r="A42" i="2"/>
  <c r="A43" i="2"/>
  <c r="A44" i="2"/>
  <c r="A45" i="2"/>
  <c r="A46" i="2"/>
  <c r="A47" i="2"/>
  <c r="AB34" i="2"/>
  <c r="Z34" i="2"/>
  <c r="W34" i="2"/>
  <c r="V34" i="2"/>
  <c r="S34" i="2"/>
  <c r="R34" i="2"/>
  <c r="AB31" i="2"/>
  <c r="Z31" i="2"/>
  <c r="W31" i="2"/>
  <c r="V31" i="2"/>
  <c r="S31" i="2"/>
  <c r="R31" i="2"/>
  <c r="AB42" i="2"/>
  <c r="Z42" i="2"/>
  <c r="W42" i="2"/>
  <c r="V42" i="2"/>
  <c r="S42" i="2"/>
  <c r="R42" i="2"/>
  <c r="AB41" i="2"/>
  <c r="Z41" i="2"/>
  <c r="W41" i="2"/>
  <c r="V41" i="2"/>
  <c r="S41" i="2"/>
  <c r="R41" i="2"/>
  <c r="AB32" i="2"/>
  <c r="Z32" i="2"/>
  <c r="W32" i="2"/>
  <c r="V32" i="2"/>
  <c r="S32" i="2"/>
  <c r="R32" i="2"/>
  <c r="AB33" i="2"/>
  <c r="Z33" i="2"/>
  <c r="W33" i="2"/>
  <c r="V33" i="2"/>
  <c r="S33" i="2"/>
  <c r="R33" i="2"/>
  <c r="AB37" i="2"/>
  <c r="Z37" i="2"/>
  <c r="W37" i="2"/>
  <c r="V37" i="2"/>
  <c r="S37" i="2"/>
  <c r="R37" i="2"/>
  <c r="AB39" i="2"/>
  <c r="Z39" i="2"/>
  <c r="W39" i="2"/>
  <c r="V39" i="2"/>
  <c r="S39" i="2"/>
  <c r="R39" i="2"/>
  <c r="AB30" i="2"/>
  <c r="Z30" i="2"/>
  <c r="W30" i="2"/>
  <c r="V30" i="2"/>
  <c r="S30" i="2"/>
  <c r="R30" i="2"/>
  <c r="AB40" i="2"/>
  <c r="Z40" i="2"/>
  <c r="W40" i="2"/>
  <c r="V40" i="2"/>
  <c r="S40" i="2"/>
  <c r="R40" i="2"/>
  <c r="AB45" i="2"/>
  <c r="Z45" i="2"/>
  <c r="W45" i="2"/>
  <c r="V45" i="2"/>
  <c r="S45" i="2"/>
  <c r="R45" i="2"/>
  <c r="AB46" i="2"/>
  <c r="Z46" i="2"/>
  <c r="W46" i="2"/>
  <c r="V46" i="2"/>
  <c r="S46" i="2"/>
  <c r="R46" i="2"/>
  <c r="V44" i="2"/>
  <c r="V47" i="2"/>
  <c r="S17" i="2"/>
  <c r="Z20" i="2"/>
  <c r="Z21" i="2"/>
  <c r="Z22" i="2"/>
  <c r="Z23" i="2"/>
  <c r="Z24" i="2"/>
  <c r="Z25" i="2"/>
  <c r="Z26" i="2"/>
  <c r="Z27" i="2"/>
  <c r="Z28" i="2"/>
  <c r="Z29" i="2"/>
  <c r="Z43" i="2"/>
  <c r="Z44" i="2"/>
  <c r="Z4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43" i="2"/>
  <c r="AB44" i="2"/>
  <c r="AB47" i="2"/>
  <c r="AB17" i="2"/>
  <c r="F99" i="7" l="1"/>
  <c r="Z19" i="2" s="1"/>
  <c r="A17" i="2"/>
  <c r="Z17" i="2" l="1"/>
  <c r="Z18" i="2"/>
  <c r="W17" i="2"/>
  <c r="V17" i="2"/>
  <c r="R17" i="2"/>
  <c r="AB80" i="2"/>
  <c r="Y80" i="2"/>
  <c r="V80" i="2"/>
  <c r="R80" i="2"/>
  <c r="W18" i="2" l="1"/>
  <c r="V18" i="2"/>
  <c r="S18" i="2"/>
  <c r="R18" i="2"/>
  <c r="W43" i="2"/>
  <c r="V43" i="2"/>
  <c r="S43" i="2"/>
  <c r="AB79" i="2" l="1"/>
  <c r="Y79" i="2"/>
  <c r="V79" i="2"/>
  <c r="R79" i="2"/>
  <c r="V26" i="2"/>
  <c r="W26" i="2"/>
  <c r="V27" i="2"/>
  <c r="W27" i="2"/>
  <c r="V28" i="2"/>
  <c r="W28" i="2"/>
  <c r="V29" i="2"/>
  <c r="W29" i="2"/>
  <c r="S26" i="2"/>
  <c r="S27" i="2"/>
  <c r="S28" i="2"/>
  <c r="S29" i="2"/>
  <c r="R29" i="2"/>
  <c r="R43" i="2"/>
  <c r="R44" i="2"/>
  <c r="R26" i="2"/>
  <c r="R27" i="2"/>
  <c r="R28" i="2"/>
  <c r="F12" i="2"/>
  <c r="R20" i="2"/>
  <c r="V23" i="2"/>
  <c r="V22" i="2"/>
  <c r="W23" i="2"/>
  <c r="V24" i="2"/>
  <c r="W24" i="2"/>
  <c r="S22" i="2"/>
  <c r="R19" i="2" l="1"/>
  <c r="V25" i="2"/>
  <c r="W47" i="2"/>
  <c r="S47" i="2"/>
  <c r="R47" i="2"/>
  <c r="W44" i="2"/>
  <c r="S44" i="2"/>
  <c r="W25" i="2"/>
  <c r="S25" i="2"/>
  <c r="R25" i="2"/>
  <c r="S24" i="2"/>
  <c r="R24" i="2"/>
  <c r="S23" i="2"/>
  <c r="R23" i="2"/>
  <c r="W22" i="2" l="1"/>
  <c r="AB81" i="2"/>
  <c r="Y81" i="2"/>
  <c r="V81" i="2"/>
  <c r="R81" i="2"/>
  <c r="V78" i="2"/>
  <c r="AB78" i="2" l="1"/>
  <c r="Y78" i="2"/>
  <c r="R78" i="2"/>
  <c r="AB77" i="2"/>
  <c r="Y77" i="2"/>
  <c r="V77" i="2"/>
  <c r="R77" i="2"/>
  <c r="R22" i="2"/>
  <c r="W21" i="2"/>
  <c r="V21" i="2"/>
  <c r="S21" i="2"/>
  <c r="R21" i="2"/>
  <c r="W20" i="2"/>
  <c r="V20" i="2"/>
  <c r="S20" i="2"/>
  <c r="W19" i="2"/>
  <c r="V19" i="2"/>
  <c r="S19" i="2"/>
  <c r="F69" i="2" l="1"/>
  <c r="H69" i="2" s="1"/>
  <c r="F56" i="2"/>
  <c r="H56" i="2" s="1"/>
  <c r="Q60" i="2"/>
  <c r="Q61" i="2" s="1"/>
  <c r="Q59" i="2"/>
  <c r="Q62" i="2" s="1"/>
  <c r="F68" i="2"/>
  <c r="H68" i="2" s="1"/>
  <c r="Q63" i="2"/>
  <c r="Q64" i="2"/>
  <c r="F59" i="2"/>
  <c r="H59" i="2" s="1"/>
  <c r="F57" i="2"/>
  <c r="H57" i="2" s="1"/>
  <c r="F58" i="2"/>
  <c r="H58" i="2" s="1"/>
  <c r="F67" i="2"/>
  <c r="H67" i="2" s="1"/>
  <c r="F66" i="2"/>
  <c r="H66" i="2" s="1"/>
  <c r="F64" i="2"/>
  <c r="H64" i="2" s="1"/>
  <c r="F61" i="2"/>
  <c r="H61" i="2" s="1"/>
  <c r="F62" i="2"/>
  <c r="H62" i="2" s="1"/>
  <c r="F60" i="2"/>
  <c r="H60" i="2" s="1"/>
  <c r="F65" i="2"/>
  <c r="H65" i="2" s="1"/>
  <c r="F63" i="2"/>
  <c r="H63" i="2" s="1"/>
  <c r="X67" i="2"/>
  <c r="Y67" i="2" s="1"/>
  <c r="X68" i="2"/>
  <c r="Y68" i="2" s="1"/>
  <c r="X66" i="2"/>
  <c r="Y66" i="2" s="1"/>
  <c r="X56" i="2"/>
  <c r="Y56" i="2" s="1"/>
  <c r="Q56" i="2" l="1"/>
  <c r="Q57" i="2"/>
  <c r="X58" i="2"/>
  <c r="Y58" i="2" s="1"/>
  <c r="X60" i="2"/>
  <c r="Y60" i="2" s="1"/>
  <c r="X62" i="2"/>
  <c r="Y62" i="2" s="1"/>
  <c r="X57" i="2"/>
  <c r="Y57" i="2" s="1"/>
  <c r="Q58" i="2"/>
  <c r="X59" i="2"/>
  <c r="Y59" i="2" s="1"/>
  <c r="X61" i="2"/>
  <c r="Y61" i="2" s="1"/>
  <c r="X63" i="2"/>
  <c r="Y63" i="2" s="1"/>
</calcChain>
</file>

<file path=xl/sharedStrings.xml><?xml version="1.0" encoding="utf-8"?>
<sst xmlns="http://schemas.openxmlformats.org/spreadsheetml/2006/main" count="1372" uniqueCount="390">
  <si>
    <t>1. DATOS DEL CLIENTE</t>
  </si>
  <si>
    <t>Item</t>
  </si>
  <si>
    <t>PRESERVANTES</t>
  </si>
  <si>
    <t>Multiparámetro</t>
  </si>
  <si>
    <t>Colorímetro</t>
  </si>
  <si>
    <t>Coolers</t>
  </si>
  <si>
    <t>Ice Pack / Gel Pack</t>
  </si>
  <si>
    <t>Control de calidad</t>
  </si>
  <si>
    <t xml:space="preserve">Parámetros </t>
  </si>
  <si>
    <t>OBSERVACIONES</t>
  </si>
  <si>
    <t>Dirección:</t>
  </si>
  <si>
    <t xml:space="preserve">Razón Social: </t>
  </si>
  <si>
    <t>Lugar de muestreo:</t>
  </si>
  <si>
    <t>Contacto en campo:</t>
  </si>
  <si>
    <t>Fecha de inicio de muestreo:</t>
  </si>
  <si>
    <t>Cargo:</t>
  </si>
  <si>
    <t>DESCRIPCION</t>
  </si>
  <si>
    <t>Etiquetas</t>
  </si>
  <si>
    <t>GPS</t>
  </si>
  <si>
    <t>Brazo muestreador</t>
  </si>
  <si>
    <t>Baldes</t>
  </si>
  <si>
    <t>Piseta</t>
  </si>
  <si>
    <t>Papel Tissue</t>
  </si>
  <si>
    <t>Preparado por:</t>
  </si>
  <si>
    <t>Fecha:</t>
  </si>
  <si>
    <t>Fecha de termino del servicio</t>
  </si>
  <si>
    <t xml:space="preserve">2.  DETALLES DEL SERVICIO </t>
  </si>
  <si>
    <t>Material de contingencia</t>
  </si>
  <si>
    <t>METALES</t>
  </si>
  <si>
    <t>CLORATO</t>
  </si>
  <si>
    <t>CLORITO</t>
  </si>
  <si>
    <t>COLOR</t>
  </si>
  <si>
    <t>CROMO TOTAL</t>
  </si>
  <si>
    <t>OLOR</t>
  </si>
  <si>
    <t>SABOR</t>
  </si>
  <si>
    <t>COLOR - OLOR - SABOR</t>
  </si>
  <si>
    <t>FLUOR</t>
  </si>
  <si>
    <t>FENOLES</t>
  </si>
  <si>
    <t>NITROGENO TOTAL</t>
  </si>
  <si>
    <t>MATRICES</t>
  </si>
  <si>
    <t xml:space="preserve">AGUA RESIDUAL </t>
  </si>
  <si>
    <t xml:space="preserve">AGUA TRATADA </t>
  </si>
  <si>
    <t>Puntos</t>
  </si>
  <si>
    <t>Envase</t>
  </si>
  <si>
    <t>Volumen</t>
  </si>
  <si>
    <t xml:space="preserve">ENVASE </t>
  </si>
  <si>
    <t>VOLUMEN</t>
  </si>
  <si>
    <t>1 Lt</t>
  </si>
  <si>
    <t>P</t>
  </si>
  <si>
    <t>P.E</t>
  </si>
  <si>
    <t>500 mL</t>
  </si>
  <si>
    <t>No Requiere</t>
  </si>
  <si>
    <t>LUGOL</t>
  </si>
  <si>
    <t>V.A</t>
  </si>
  <si>
    <t>120 mL</t>
  </si>
  <si>
    <t>COLIF.TOTALES / FECALES - E.COLI</t>
  </si>
  <si>
    <t>500  mL</t>
  </si>
  <si>
    <t>120  mL</t>
  </si>
  <si>
    <t>Toca</t>
  </si>
  <si>
    <t>Mascarilla</t>
  </si>
  <si>
    <t>Total</t>
  </si>
  <si>
    <t>Und.</t>
  </si>
  <si>
    <t xml:space="preserve">Q C </t>
  </si>
  <si>
    <t>Acidez</t>
  </si>
  <si>
    <t>No requiere</t>
  </si>
  <si>
    <t xml:space="preserve">Control de Calidad </t>
  </si>
  <si>
    <t>AMONIO (NITROGENO AMONIACAL)</t>
  </si>
  <si>
    <t>CLORITO - CLORATO Y BROMATOS</t>
  </si>
  <si>
    <t>250 mL</t>
  </si>
  <si>
    <t>Requeridos</t>
  </si>
  <si>
    <t>H. Y LARVAS  HELMINTOS - ORG. DE VIDA LIBRE</t>
  </si>
  <si>
    <t>200 mL</t>
  </si>
  <si>
    <t>Analizar inmediatamente</t>
  </si>
  <si>
    <t>40 mL</t>
  </si>
  <si>
    <t>Formaldehido ( como aldehido)</t>
  </si>
  <si>
    <t>Hidrocarburos totales (TPH; F2; F3)</t>
  </si>
  <si>
    <t>Hidrocarburos totales (TPH; F1)</t>
  </si>
  <si>
    <t>Paracuat</t>
  </si>
  <si>
    <t>Aldicarb</t>
  </si>
  <si>
    <t>Metamidofos</t>
  </si>
  <si>
    <t>Pesticidas: Clorados ó Fosforados (RPs)</t>
  </si>
  <si>
    <t>PCBs</t>
  </si>
  <si>
    <t>HAPs</t>
  </si>
  <si>
    <t>TIOCIANATO</t>
  </si>
  <si>
    <t xml:space="preserve">SULFURO DE HIDROGENO </t>
  </si>
  <si>
    <t>ORGANICOS VOLATILES (COVs + BTEX)</t>
  </si>
  <si>
    <t>Winkler</t>
  </si>
  <si>
    <t>300 mL</t>
  </si>
  <si>
    <t>Muestreado Por:</t>
  </si>
  <si>
    <t>MUESTREADOR</t>
  </si>
  <si>
    <t>CLIENTE</t>
  </si>
  <si>
    <t>LABORATORIO</t>
  </si>
  <si>
    <t>AGUA DESTILADA</t>
  </si>
  <si>
    <t xml:space="preserve">NaOH 6N (Hidróxido de Sodio) </t>
  </si>
  <si>
    <t>CALCIO - MAGNESIO - POTASIO - SODIO</t>
  </si>
  <si>
    <t xml:space="preserve">CLORITO - CLORATO </t>
  </si>
  <si>
    <t xml:space="preserve">COLIF.TOTALES / FECALES </t>
  </si>
  <si>
    <t>DUREZA TOTAL</t>
  </si>
  <si>
    <t>ESTERES DE FTALATOS</t>
  </si>
  <si>
    <t>RX. I Y RX. II</t>
  </si>
  <si>
    <t>Llenar a tope Sin aire</t>
  </si>
  <si>
    <t xml:space="preserve">20 (G*) </t>
  </si>
  <si>
    <t xml:space="preserve">10 (G*) </t>
  </si>
  <si>
    <t>Etilendiamina</t>
  </si>
  <si>
    <t xml:space="preserve">4 (G*) </t>
  </si>
  <si>
    <t>Duplicado (Dup)</t>
  </si>
  <si>
    <t>.</t>
  </si>
  <si>
    <t>NaOH 5N + (NH4)2SO4</t>
  </si>
  <si>
    <t>Vial Ambar</t>
  </si>
  <si>
    <t xml:space="preserve">7 (G*) </t>
  </si>
  <si>
    <t>1. AGUA NATURAL -  SUBTERRANEA / AN-1</t>
  </si>
  <si>
    <t>2. AGUA NATURAL - SUPERFICIAL / AN-2</t>
  </si>
  <si>
    <t>3. AGUA RESIDUAL - DOMESTICA / AR-3</t>
  </si>
  <si>
    <t>4. AGUA RESIDUAL - INDUSTRIAL / AR-4</t>
  </si>
  <si>
    <t>5. AGUA RESIDUAL - MUNICIPAL  / AR-5</t>
  </si>
  <si>
    <t>6. AGUA PARA USO Y CONSUMO HUMANO - POTABLE / AC-6</t>
  </si>
  <si>
    <t>7. AGUA PARA USO Y CONSUMO HUMANO - DE MESA / AC-7</t>
  </si>
  <si>
    <t>8. AGUA PARA USO Y CONSUMO HUMANO - ENVASADA / AC-8</t>
  </si>
  <si>
    <t>9. AGUA PARA USO Y CONSUMO HUMANO - DE PISCINA / AC-9</t>
  </si>
  <si>
    <t>10. AGUA PARA USO Y CONSUMO HUMANO - LAGUNA ARTIFICIAL /AC-10</t>
  </si>
  <si>
    <t>11. AGUAS SALINAS -  MAR / AS-11</t>
  </si>
  <si>
    <t>12. AGUAS SALINAS -  SALOBRE / AS-12</t>
  </si>
  <si>
    <t>13. AGUAS SALINAS -  SALMUERA / AS-13</t>
  </si>
  <si>
    <t>14. AGUAS SALINAS -  INYECCIÓN Y REINYECCIÓN / AS-14</t>
  </si>
  <si>
    <t>15. AGUA DE CIRCULACIÓN O ENFRIAMIENTO / AP-15</t>
  </si>
  <si>
    <t>16. AGUA DE ALIMENTACIÓN PATRA CALDERAS / AP-16</t>
  </si>
  <si>
    <t>17. AGUA PURIFICADA / AP-17</t>
  </si>
  <si>
    <t>18. AGUA DE CALDERAS / AP-18</t>
  </si>
  <si>
    <t>19. AGUA DE LIXIVIACIÓN / AP-19</t>
  </si>
  <si>
    <t>20. AGUA DE INYECCIÓN Y REINYECCIÓIN / AP-20</t>
  </si>
  <si>
    <t>AGUA DE DIALISIS</t>
  </si>
  <si>
    <t>ACEITES Y GRASAS*</t>
  </si>
  <si>
    <t>BACTERIAS HETEROTROFAS*</t>
  </si>
  <si>
    <t>AMONIACO</t>
  </si>
  <si>
    <t>BET´X</t>
  </si>
  <si>
    <t>CLORUROS*</t>
  </si>
  <si>
    <t>CLORUROS* - SULFATOS*</t>
  </si>
  <si>
    <t>COLIF.FECALES*/TOTALES* - E.COLI* - BACT.HETEROTROFAS*</t>
  </si>
  <si>
    <t>COLIF.FECALES*/TOTALES* - E.COLI* - BACT.HETEROTROFAS* - VIRUS</t>
  </si>
  <si>
    <t>COLIFORMES TOTALES*</t>
  </si>
  <si>
    <t>CONDUCTIVIDAD*</t>
  </si>
  <si>
    <t>COT (CARBONO ORGANICO TOTAL)</t>
  </si>
  <si>
    <t>COV´S</t>
  </si>
  <si>
    <t>CROMO HEXAVALENTE*</t>
  </si>
  <si>
    <t>CROMO*</t>
  </si>
  <si>
    <t>DEMANDA BIOQUIMICA DE OXIGENO (DBO5)*</t>
  </si>
  <si>
    <t>ESCHERICHIA COLI*</t>
  </si>
  <si>
    <t>HTP´S</t>
  </si>
  <si>
    <t>HUEVOS Y LARVAS HELMINTOS</t>
  </si>
  <si>
    <t>NITROGENO AMONIACAL*</t>
  </si>
  <si>
    <t>ORGANISMOS DE VIDA LIBRE (O.V.L)</t>
  </si>
  <si>
    <t>OXIGENO DIUELTO (O.D)</t>
  </si>
  <si>
    <t>PH*</t>
  </si>
  <si>
    <t>PH* - CLORO LIBRE</t>
  </si>
  <si>
    <t>PH* - CONDUCTIVIDAD*</t>
  </si>
  <si>
    <t>PH* - CONDUCTIVIDAD* - CLORO LIBRE</t>
  </si>
  <si>
    <t>PH* - TEMPERATURA*</t>
  </si>
  <si>
    <t>PH* - TEMPERATURA* - CLORO LIBRE</t>
  </si>
  <si>
    <t>PH* - TEMPERATURA* - CONDUCTIVIDAD</t>
  </si>
  <si>
    <t>PH* - TEMPERATURA* - CONDUCTIVIDAD - CLORO LIBRE</t>
  </si>
  <si>
    <t>PSEUDOMONAS AERUGINOSA</t>
  </si>
  <si>
    <t>SALMONELLA*</t>
  </si>
  <si>
    <t>SOLIDOS SEDIMENTABLES (SS)*</t>
  </si>
  <si>
    <t>SOLIDOS SUSPENDIDOS TOTALES (TSS)*</t>
  </si>
  <si>
    <t>SOLIDOS TOTALES (ST)*</t>
  </si>
  <si>
    <t>SULFATOS*</t>
  </si>
  <si>
    <t>Preservación</t>
  </si>
  <si>
    <t>PRESERVACIÓN</t>
  </si>
  <si>
    <t xml:space="preserve">30 (G*) </t>
  </si>
  <si>
    <t>CN-L (CIANURO LIBRE)</t>
  </si>
  <si>
    <t>CN WAD (CIANURO WAD)</t>
  </si>
  <si>
    <t>H2SO4 1:1</t>
  </si>
  <si>
    <t>HNO3 1:1</t>
  </si>
  <si>
    <t>CLORUROS* - SULFATOS* - NITRATO - NITRITO</t>
  </si>
  <si>
    <t>NaOH 6N + Acetato de Zn</t>
  </si>
  <si>
    <t xml:space="preserve">FLUORUROS </t>
  </si>
  <si>
    <t>NITROGENO ORGANICO Kjeldahl</t>
  </si>
  <si>
    <t>SALINIDAD</t>
  </si>
  <si>
    <t>SILICE, SILICATO</t>
  </si>
  <si>
    <t>Blanco Viajero (BK-V)</t>
  </si>
  <si>
    <t>Blanco de Campo (BK-C)</t>
  </si>
  <si>
    <t>Telefono de Contacto en campo:</t>
  </si>
  <si>
    <t>SODIO</t>
  </si>
  <si>
    <t>Coliformes Totales/Fecales- Bacterias- E.coli- Pseudomonas</t>
  </si>
  <si>
    <t>Endotoxina</t>
  </si>
  <si>
    <t>Cloramina</t>
  </si>
  <si>
    <t>Coliformes Totales/Fecales- Bacterias- E.coli</t>
  </si>
  <si>
    <t>Coliformes Totales - Pseudomonas</t>
  </si>
  <si>
    <t>PH* - TEMPERATURA* (Campo)</t>
  </si>
  <si>
    <t>PH* - TEMPERATURA* - CLORO LIBRE (Campo)</t>
  </si>
  <si>
    <t>-</t>
  </si>
  <si>
    <t>Campo</t>
  </si>
  <si>
    <t>(-.-.-.)COT (CARBONO ORGANICO TOTAL)</t>
  </si>
  <si>
    <t>COLIF.FECALES*/TOTALES* - BACT.HETEROTROFAS*</t>
  </si>
  <si>
    <t>COLIFORMES TOTALES* - BACT.HETEROTROFAS*</t>
  </si>
  <si>
    <t>PH* - (Campo)</t>
  </si>
  <si>
    <t>PH* - TEMPERATURA* - CONDUCTIVIDAD (Campo)</t>
  </si>
  <si>
    <t>TEMPERATURA* (Campo)</t>
  </si>
  <si>
    <t>AI-SO2</t>
  </si>
  <si>
    <t>AI-NO2</t>
  </si>
  <si>
    <t>AI-CO</t>
  </si>
  <si>
    <t>AI-OZ</t>
  </si>
  <si>
    <t>AI-CO- NO2-SO2- OZ</t>
  </si>
  <si>
    <t>AI-CO- NO2-SO2</t>
  </si>
  <si>
    <t>AI-CO- NO2</t>
  </si>
  <si>
    <t>AI-H2S</t>
  </si>
  <si>
    <t>AI-CO- NO2- H2S</t>
  </si>
  <si>
    <t>AI-CO- H2S- NO2-SO2</t>
  </si>
  <si>
    <t>RUIDO</t>
  </si>
  <si>
    <t>RUIDO DIURNO</t>
  </si>
  <si>
    <t>RUIDO NOCTURNO</t>
  </si>
  <si>
    <t>RUIDO 24 HORAS</t>
  </si>
  <si>
    <t>CLORO LIBRE</t>
  </si>
  <si>
    <t>CLORO LIBRE - CONDUCTIVIDAD</t>
  </si>
  <si>
    <t>ECA AGUA- CATE. 1- POBLACIONAL Y RECREACIONAL</t>
  </si>
  <si>
    <t>ECA AGUA- CATE. 2- EXTRACCION, CULTIVO Y OTRAS ACTIVIDADES MARINO COSTERAS</t>
  </si>
  <si>
    <t>ECA AGUA- CATE. 3- RIEGO DE VEGETALES Y BEBIDA DE ANIMALES</t>
  </si>
  <si>
    <t xml:space="preserve">ECA AGUA- CATE. 4- CONSERVACION DEL AMBIENTE ACUATICO </t>
  </si>
  <si>
    <t xml:space="preserve">HTP'S - COV´S - HAP´S - PCB´S - BETX </t>
  </si>
  <si>
    <r>
      <t>HNO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 xml:space="preserve"> (Acido Nítrico) 1:1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</si>
  <si>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 xml:space="preserve"> (Acido Sulfúrico) 1:1 </t>
    </r>
  </si>
  <si>
    <t xml:space="preserve">NaOH (Hidróxido de Sodio) 1:1 </t>
  </si>
  <si>
    <t xml:space="preserve">NaOH 5N (Hidróxido de Sodio) </t>
  </si>
  <si>
    <r>
      <t>Zn(C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 xml:space="preserve"> (Acetato de zinc) </t>
    </r>
  </si>
  <si>
    <r>
      <t xml:space="preserve">Matriz </t>
    </r>
    <r>
      <rPr>
        <sz val="12"/>
        <rFont val="Arial"/>
        <family val="2"/>
      </rPr>
      <t>:</t>
    </r>
  </si>
  <si>
    <t>250  mL</t>
  </si>
  <si>
    <t xml:space="preserve">FRASCOS </t>
  </si>
  <si>
    <t>Plástico (P)</t>
  </si>
  <si>
    <t>Plástico Ambar (P.A)</t>
  </si>
  <si>
    <t>Vidrio ámbar (V.A)</t>
  </si>
  <si>
    <t>Plástico estéril (P.E)</t>
  </si>
  <si>
    <t>MATERIALES Y EQUIPOS</t>
  </si>
  <si>
    <t>MATERIAL SUELO - SEDIMENTOS</t>
  </si>
  <si>
    <t>MATERIAL AIRE</t>
  </si>
  <si>
    <t>DESCRIPCIÓN</t>
  </si>
  <si>
    <t>1 Kg</t>
  </si>
  <si>
    <t>Pote</t>
  </si>
  <si>
    <t>Bolsa</t>
  </si>
  <si>
    <t>Vidrio Ámbar</t>
  </si>
  <si>
    <t>Vol.</t>
  </si>
  <si>
    <t xml:space="preserve">Und. </t>
  </si>
  <si>
    <t>Plastico Ámbar</t>
  </si>
  <si>
    <t>120 ml</t>
  </si>
  <si>
    <t>Sobre de Papel</t>
  </si>
  <si>
    <t>Casette</t>
  </si>
  <si>
    <t>Filtro PM-10 (L)</t>
  </si>
  <si>
    <t>Filtro PM-2.5(L)</t>
  </si>
  <si>
    <t>Filtro PM-10 (H)</t>
  </si>
  <si>
    <t>Filtro PM-2.5 (H)</t>
  </si>
  <si>
    <t>Cadena de Custodia</t>
  </si>
  <si>
    <t>Camara Fotografica</t>
  </si>
  <si>
    <t>Pares de Guantes</t>
  </si>
  <si>
    <t>Lentes de Seguridad</t>
  </si>
  <si>
    <t>INDUMENTARIA Y EQUIPO DE PROTECCION PERSONAL (Indicar)</t>
  </si>
  <si>
    <t>Mandil Descartable</t>
  </si>
  <si>
    <t>Otros</t>
  </si>
  <si>
    <t xml:space="preserve">V° B° Supervisor </t>
  </si>
  <si>
    <t>Resp. de Cotización:</t>
  </si>
  <si>
    <t>Lugol</t>
  </si>
  <si>
    <t>Tiosulfato (Tio)</t>
  </si>
  <si>
    <t>e-mail:</t>
  </si>
  <si>
    <t>Parámetros</t>
  </si>
  <si>
    <t>3. DESCRIPCIÓN DE MATERIALES, PRESERVANTES Y EQUIPOS A EMPLEAR</t>
  </si>
  <si>
    <t>Frasco vidrio (V.E)</t>
  </si>
  <si>
    <t>(G*): Gotas - Lt: Litro - mL: Mililitros - Und.: Unidades - Vol: Volumen -H: HI.Vol - L: Low.Vol - Resp.: Responsable - V.E: Vidrio Esteril</t>
  </si>
  <si>
    <r>
      <t xml:space="preserve">Plan de Muestreo - Agua </t>
    </r>
    <r>
      <rPr>
        <b/>
        <i/>
        <sz val="24"/>
        <color rgb="FF0070C0"/>
        <rFont val="Arial"/>
        <family val="2"/>
      </rPr>
      <t>- Aire - Suelo y Sedimentos</t>
    </r>
  </si>
  <si>
    <r>
      <rPr>
        <b/>
        <i/>
        <sz val="12"/>
        <color rgb="FF0070C0"/>
        <rFont val="Arial"/>
        <family val="2"/>
      </rPr>
      <t>Responsable</t>
    </r>
    <r>
      <rPr>
        <b/>
        <sz val="12"/>
        <rFont val="Arial"/>
        <family val="2"/>
      </rPr>
      <t xml:space="preserve"> de Preparación de</t>
    </r>
    <r>
      <rPr>
        <b/>
        <i/>
        <sz val="12"/>
        <color rgb="FF0070C0"/>
        <rFont val="Arial"/>
        <family val="2"/>
      </rPr>
      <t>l</t>
    </r>
    <r>
      <rPr>
        <b/>
        <sz val="12"/>
        <rFont val="Arial"/>
        <family val="2"/>
      </rPr>
      <t xml:space="preserve"> material </t>
    </r>
  </si>
  <si>
    <t>ALCALINIDAD*</t>
  </si>
  <si>
    <t>BORO</t>
  </si>
  <si>
    <t>COLIFORMES FECALES* - BACT.HETEROTROFAS*</t>
  </si>
  <si>
    <t>COLOR VERDADERO</t>
  </si>
  <si>
    <t>P.A</t>
  </si>
  <si>
    <t>Detergentes SAAM</t>
  </si>
  <si>
    <t>ENUMERACION DE ENTEROCOCOS</t>
  </si>
  <si>
    <t>250 ml</t>
  </si>
  <si>
    <t>FOSFATOS</t>
  </si>
  <si>
    <t>V</t>
  </si>
  <si>
    <t>FOSFORO TOTAL</t>
  </si>
  <si>
    <t>MERCURIO</t>
  </si>
  <si>
    <t>NITRATOS</t>
  </si>
  <si>
    <t>NITRATOS - NITRITOS</t>
  </si>
  <si>
    <t>NITRITOS</t>
  </si>
  <si>
    <t>ESTEFANY SANCHEZ</t>
  </si>
  <si>
    <t>TATIANA OLANO</t>
  </si>
  <si>
    <t>PEDRO</t>
  </si>
  <si>
    <t>GIANCARLO ÑAHUI</t>
  </si>
  <si>
    <t>LUCIA ROMERO</t>
  </si>
  <si>
    <t>NOHELY ROMAN</t>
  </si>
  <si>
    <t>MONICA TAPIA</t>
  </si>
  <si>
    <t>COMERCIALES</t>
  </si>
  <si>
    <t>PARAMETRO</t>
  </si>
  <si>
    <t xml:space="preserve">JESRSON </t>
  </si>
  <si>
    <t>TIO</t>
  </si>
  <si>
    <t>AI-PM-10 - HI VOL</t>
  </si>
  <si>
    <t>AI-PM-2.5 HI VOL</t>
  </si>
  <si>
    <t>F</t>
  </si>
  <si>
    <t>AI-PM-10 - LOW VOL</t>
  </si>
  <si>
    <t>AI-PM-2.5 LOW VOL</t>
  </si>
  <si>
    <t>PM-10-H</t>
  </si>
  <si>
    <t>PM-10-L</t>
  </si>
  <si>
    <t>PM-2.5-H</t>
  </si>
  <si>
    <t>PM-2.5-L</t>
  </si>
  <si>
    <t>X</t>
  </si>
  <si>
    <t xml:space="preserve"> </t>
  </si>
  <si>
    <t>CN- TOTAL* (CIANURO TOTAL)</t>
  </si>
  <si>
    <t>DEMANDA QUIMICA DE OXIGENO (DQO)*</t>
  </si>
  <si>
    <t>20 (G*)</t>
  </si>
  <si>
    <t>SOLIDOS TOTALES DISUELTOS (TDS)*</t>
  </si>
  <si>
    <t>SULFUROS*</t>
  </si>
  <si>
    <t>TEMPERATURA</t>
  </si>
  <si>
    <t>TURBIEDAD*</t>
  </si>
  <si>
    <t>V.E</t>
  </si>
  <si>
    <t>VIRUS*</t>
  </si>
  <si>
    <t>COLIFORMES FECALES(SED)</t>
  </si>
  <si>
    <t>POTE</t>
  </si>
  <si>
    <t>COLIFORMES TOTALES(SED)</t>
  </si>
  <si>
    <t>aquí</t>
  </si>
  <si>
    <r>
      <t xml:space="preserve">YUDISA </t>
    </r>
    <r>
      <rPr>
        <b/>
        <i/>
        <sz val="11"/>
        <color rgb="FF0070C0"/>
        <rFont val="Calibri"/>
        <family val="2"/>
        <scheme val="minor"/>
      </rPr>
      <t>MALQUI</t>
    </r>
  </si>
  <si>
    <t>CRISTY CHU</t>
  </si>
  <si>
    <t>ABIGAIL SAYRITUPAC</t>
  </si>
  <si>
    <t>MELISA ATIQUIPA</t>
  </si>
  <si>
    <t>LUIS SANDOVAL</t>
  </si>
  <si>
    <t>ARACELY PÉREZ</t>
  </si>
  <si>
    <t>CLARISA FERNÁNDEZ</t>
  </si>
  <si>
    <t>CLORO TOTAL</t>
  </si>
  <si>
    <t>MICROSISTINA - LR</t>
  </si>
  <si>
    <t>MATERIALES FLOTANTES DE ORIGEN ANTROPOGENICO</t>
  </si>
  <si>
    <t>VIBRIO CHOLERAE</t>
  </si>
  <si>
    <t>1 LT</t>
  </si>
  <si>
    <t>FORMAS PARASITARIAS</t>
  </si>
  <si>
    <t>N-NITRATOS</t>
  </si>
  <si>
    <r>
      <t xml:space="preserve">N° de </t>
    </r>
    <r>
      <rPr>
        <b/>
        <i/>
        <sz val="13"/>
        <color rgb="FF0070C0"/>
        <rFont val="Arial"/>
        <family val="2"/>
      </rPr>
      <t>COT.</t>
    </r>
    <r>
      <rPr>
        <sz val="13"/>
        <color theme="1"/>
        <rFont val="Arial"/>
        <family val="2"/>
      </rPr>
      <t>:</t>
    </r>
  </si>
  <si>
    <t>RESPONSABLE</t>
  </si>
  <si>
    <t>METALES TOTALES AA* e ICP-OES - DUREZA TOTAL</t>
  </si>
  <si>
    <t>METALES TOTALES AA* e ICP-OES</t>
  </si>
  <si>
    <t>CLORO LIBRE (CAMPO)</t>
  </si>
  <si>
    <t>CIANURO TOTAL</t>
  </si>
  <si>
    <t>MCPA</t>
  </si>
  <si>
    <t>DOSIS DE REFERENCIA</t>
  </si>
  <si>
    <t>MARILU ENRIQUEZ</t>
  </si>
  <si>
    <t>POTASIO - SODIO</t>
  </si>
  <si>
    <t>Miguel Ramos</t>
  </si>
  <si>
    <t>Hidrocarburos disueltos</t>
  </si>
  <si>
    <t>Recuento de microorganismos aerobios mesófilos</t>
  </si>
  <si>
    <t>Recuento de mohos y levaduras</t>
  </si>
  <si>
    <t>ENUMERACIÓN DE BACTERIAS ANAEROBIAS SULFITO REDUCTORES</t>
  </si>
  <si>
    <t>Blanco Viajero MB (BK-VM)</t>
  </si>
  <si>
    <t>HUMEDAD</t>
  </si>
  <si>
    <t>V.A.</t>
  </si>
  <si>
    <t>GABRIELA JARA</t>
  </si>
  <si>
    <t>Duplicado (Dup-MB)</t>
  </si>
  <si>
    <r>
      <t xml:space="preserve">SISTEMA DE CONTROL DE CALIDAD </t>
    </r>
    <r>
      <rPr>
        <b/>
        <i/>
        <sz val="12"/>
        <color rgb="FF0070C0"/>
        <rFont val="Arial"/>
        <family val="2"/>
      </rPr>
      <t>- MUESTREO</t>
    </r>
  </si>
  <si>
    <t>CLORUROS - SULFATOS* - TURBIEDAD</t>
  </si>
  <si>
    <t>CLOSTRIDIUM PERFRINGENS Y ESPORAS</t>
  </si>
  <si>
    <t>CLOSTRIDIUM SULFITO REDUCTOR</t>
  </si>
  <si>
    <t>COLIFORMES FECALES*-TOTALES*</t>
  </si>
  <si>
    <t>CHRISTIAN HUAMANI</t>
  </si>
  <si>
    <t>Frascos adicionales</t>
  </si>
  <si>
    <t>frasco de 100 ml adicional</t>
  </si>
  <si>
    <t>viales adicionales</t>
  </si>
  <si>
    <t>Frasco de 500 ml adicional</t>
  </si>
  <si>
    <t>Frasco adicional</t>
  </si>
  <si>
    <t>Frasco Esteril adicional</t>
  </si>
  <si>
    <t>Frasco de adicional</t>
  </si>
  <si>
    <t>Frascos P.E adicionales</t>
  </si>
  <si>
    <t xml:space="preserve">100 (G*) </t>
  </si>
  <si>
    <t xml:space="preserve">60 (G*) </t>
  </si>
  <si>
    <t xml:space="preserve">Buffer Sulfato de Amonio (NH4)2SO4 -Cromo VI </t>
  </si>
  <si>
    <t>NaOH 6N</t>
  </si>
  <si>
    <t>Galón</t>
  </si>
  <si>
    <t>5 Lt</t>
  </si>
  <si>
    <t>Litros Adicional</t>
  </si>
  <si>
    <t xml:space="preserve">300 (G*) </t>
  </si>
  <si>
    <t>CLORUROS - SULFATOS* - FLUOR</t>
  </si>
  <si>
    <t>994 400 253</t>
  </si>
  <si>
    <t>ORGANICOS - INORGANICOS</t>
  </si>
  <si>
    <t>CLORITO - CLORATO - NITRATOS - NITRITOS - BROMATOS</t>
  </si>
  <si>
    <t>2026/0103</t>
  </si>
  <si>
    <t xml:space="preserve">SOCOSANI S.A. </t>
  </si>
  <si>
    <t>AV. PUMACAHUA NRO. 717 CERRO VIEJO
(COSTADO CENTRO SALUD MENTAL MOISES HERES) AREQUIPA - AREQUIPA CERRO COLORADO</t>
  </si>
  <si>
    <t>FUNDO SOCOSANI</t>
  </si>
  <si>
    <t>Junette Chora Mendoza</t>
  </si>
  <si>
    <t xml:space="preserve">jchora@socosani.com </t>
  </si>
  <si>
    <t>ALEJANDRA</t>
  </si>
  <si>
    <t>/02/2026</t>
  </si>
  <si>
    <t>AGUA MINERAL</t>
  </si>
  <si>
    <t>DUREZA CALCICA</t>
  </si>
  <si>
    <t>PH* - T° - CONDUCTIVIDAD - TURBIDEZ - CLORO LIBRE - O.D (Campo)</t>
  </si>
  <si>
    <t>ESTREPTOCOCOS FECALES</t>
  </si>
  <si>
    <t>03 VERTIENTES
 I Vertiente,  II Vertiente, VIII  Vertiente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</si>
</sst>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i/>
      <sz val="12"/>
      <color rgb="FF0070C0"/>
      <name val="Arial"/>
      <family val="2"/>
    </font>
    <font>
      <b/>
      <sz val="12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name val="Arial"/>
      <family val="2"/>
    </font>
    <font>
      <b/>
      <sz val="11"/>
      <name val="Calibri"/>
      <family val="2"/>
      <scheme val="minor"/>
    </font>
    <font>
      <b/>
      <i/>
      <sz val="14"/>
      <color theme="1"/>
      <name val="Arial"/>
      <family val="2"/>
    </font>
    <font>
      <sz val="11"/>
      <name val="Calibri"/>
      <family val="2"/>
      <scheme val="minor"/>
    </font>
    <font>
      <b/>
      <sz val="36"/>
      <color theme="1"/>
      <name val="Arial"/>
      <family val="2"/>
    </font>
    <font>
      <b/>
      <sz val="24"/>
      <color theme="1"/>
      <name val="Arial"/>
      <family val="2"/>
    </font>
    <font>
      <b/>
      <sz val="14"/>
      <color theme="1"/>
      <name val="Arial"/>
      <family val="2"/>
    </font>
    <font>
      <sz val="13"/>
      <color theme="1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sz val="18"/>
      <name val="Arial"/>
      <family val="2"/>
    </font>
    <font>
      <sz val="11"/>
      <name val="Arial"/>
      <family val="2"/>
    </font>
    <font>
      <sz val="16"/>
      <name val="Arial"/>
      <family val="2"/>
    </font>
    <font>
      <vertAlign val="subscript"/>
      <sz val="12"/>
      <name val="Arial"/>
      <family val="2"/>
    </font>
    <font>
      <sz val="13"/>
      <name val="Arial"/>
      <family val="2"/>
    </font>
    <font>
      <b/>
      <i/>
      <sz val="9"/>
      <color rgb="FF0070C0"/>
      <name val="Arial"/>
      <family val="2"/>
    </font>
    <font>
      <b/>
      <i/>
      <sz val="24"/>
      <color rgb="FF0070C0"/>
      <name val="Arial"/>
      <family val="2"/>
    </font>
    <font>
      <b/>
      <i/>
      <sz val="11"/>
      <color rgb="FF0070C0"/>
      <name val="Arial"/>
      <family val="2"/>
    </font>
    <font>
      <b/>
      <i/>
      <sz val="13"/>
      <color rgb="FF0070C0"/>
      <name val="Arial"/>
      <family val="2"/>
    </font>
    <font>
      <b/>
      <sz val="11"/>
      <color theme="1"/>
      <name val="Arial"/>
      <family val="2"/>
    </font>
    <font>
      <sz val="14"/>
      <color rgb="FFFFFF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i/>
      <sz val="12"/>
      <color rgb="FF0070C0"/>
      <name val="Arial"/>
      <family val="2"/>
    </font>
    <font>
      <b/>
      <i/>
      <sz val="12"/>
      <name val="Arial"/>
      <family val="2"/>
    </font>
    <font>
      <b/>
      <i/>
      <sz val="18"/>
      <name val="Arial"/>
      <family val="2"/>
    </font>
    <font>
      <b/>
      <i/>
      <sz val="11"/>
      <color rgb="FF0070C0"/>
      <name val="Calibri"/>
      <family val="2"/>
      <scheme val="minor"/>
    </font>
    <font>
      <b/>
      <sz val="16"/>
      <color theme="0"/>
      <name val="Arial"/>
      <family val="2"/>
    </font>
    <font>
      <b/>
      <sz val="10"/>
      <color theme="6" tint="-0.249977111117893"/>
      <name val="Arial"/>
      <family val="2"/>
    </font>
    <font>
      <strike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9" tint="-0.249977111117893"/>
      <name val="Arial"/>
      <family val="2"/>
    </font>
    <font>
      <b/>
      <sz val="11"/>
      <color theme="9" tint="-0.249977111117893"/>
      <name val="Arial"/>
      <family val="2"/>
    </font>
    <font>
      <b/>
      <i/>
      <sz val="11"/>
      <color rgb="FF0070C0"/>
      <name val="Calibri"/>
      <family val="2"/>
      <scheme val="minor"/>
    </font>
    <font>
      <b/>
      <sz val="39"/>
      <color theme="1"/>
      <name val="Arial"/>
      <family val="2"/>
    </font>
    <font>
      <i/>
      <sz val="14"/>
      <color theme="1"/>
      <name val="Arial"/>
      <family val="2"/>
    </font>
    <font>
      <b/>
      <i/>
      <sz val="28"/>
      <color theme="1"/>
      <name val="Arial"/>
      <family val="2"/>
    </font>
    <font>
      <b/>
      <sz val="28"/>
      <color rgb="FFFF0000"/>
      <name val="Arial"/>
      <family val="2"/>
    </font>
    <font>
      <b/>
      <i/>
      <sz val="36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50" fillId="0" borderId="0" applyNumberFormat="0" applyFill="0" applyBorder="0" applyAlignment="0" applyProtection="0"/>
  </cellStyleXfs>
  <cellXfs count="443">
    <xf numFmtId="0" fontId="0" fillId="0" borderId="0" xfId="0"/>
    <xf numFmtId="0" fontId="10" fillId="0" borderId="23" xfId="0" applyFont="1" applyBorder="1" applyAlignment="1">
      <alignment horizontal="left"/>
    </xf>
    <xf numFmtId="0" fontId="10" fillId="0" borderId="23" xfId="0" applyFont="1" applyBorder="1" applyAlignment="1">
      <alignment horizontal="center"/>
    </xf>
    <xf numFmtId="0" fontId="17" fillId="0" borderId="23" xfId="0" applyFont="1" applyBorder="1" applyAlignment="1">
      <alignment horizontal="left"/>
    </xf>
    <xf numFmtId="0" fontId="17" fillId="0" borderId="23" xfId="0" applyFont="1" applyBorder="1" applyAlignment="1">
      <alignment horizontal="left" vertical="center" wrapText="1"/>
    </xf>
    <xf numFmtId="0" fontId="4" fillId="2" borderId="0" xfId="0" applyFont="1" applyFill="1" applyAlignment="1">
      <alignment horizontal="left" wrapText="1"/>
    </xf>
    <xf numFmtId="0" fontId="18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wrapText="1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9" fillId="2" borderId="0" xfId="0" applyFont="1" applyFill="1"/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Alignment="1">
      <alignment vertical="center"/>
    </xf>
    <xf numFmtId="0" fontId="10" fillId="0" borderId="6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2" fillId="6" borderId="40" xfId="0" applyFont="1" applyFill="1" applyBorder="1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41" xfId="0" applyFont="1" applyBorder="1" applyAlignment="1">
      <alignment horizontal="left"/>
    </xf>
    <xf numFmtId="0" fontId="10" fillId="0" borderId="42" xfId="0" applyFont="1" applyBorder="1" applyAlignment="1">
      <alignment horizontal="center"/>
    </xf>
    <xf numFmtId="0" fontId="10" fillId="0" borderId="42" xfId="0" applyFont="1" applyBorder="1" applyAlignment="1">
      <alignment horizontal="left"/>
    </xf>
    <xf numFmtId="0" fontId="16" fillId="0" borderId="11" xfId="0" applyFont="1" applyBorder="1" applyAlignment="1">
      <alignment vertical="center"/>
    </xf>
    <xf numFmtId="0" fontId="16" fillId="0" borderId="12" xfId="0" applyFont="1" applyBorder="1" applyAlignment="1">
      <alignment vertical="center"/>
    </xf>
    <xf numFmtId="0" fontId="16" fillId="0" borderId="3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16" fillId="2" borderId="33" xfId="0" applyFont="1" applyFill="1" applyBorder="1" applyAlignment="1">
      <alignment vertical="center"/>
    </xf>
    <xf numFmtId="0" fontId="16" fillId="2" borderId="12" xfId="0" applyFont="1" applyFill="1" applyBorder="1" applyAlignment="1">
      <alignment vertical="center"/>
    </xf>
    <xf numFmtId="0" fontId="16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3" fillId="0" borderId="18" xfId="0" applyFont="1" applyBorder="1" applyAlignment="1">
      <alignment vertical="center"/>
    </xf>
    <xf numFmtId="0" fontId="33" fillId="0" borderId="0" xfId="0" applyFont="1" applyAlignment="1">
      <alignment horizontal="center" vertical="center"/>
    </xf>
    <xf numFmtId="0" fontId="33" fillId="0" borderId="11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11" fillId="3" borderId="14" xfId="1" applyFont="1" applyFill="1" applyBorder="1" applyAlignment="1">
      <alignment vertical="center"/>
    </xf>
    <xf numFmtId="0" fontId="34" fillId="2" borderId="0" xfId="0" applyFont="1" applyFill="1" applyAlignment="1">
      <alignment horizontal="left" vertical="center"/>
    </xf>
    <xf numFmtId="0" fontId="3" fillId="4" borderId="35" xfId="0" applyFont="1" applyFill="1" applyBorder="1" applyAlignment="1">
      <alignment vertical="center"/>
    </xf>
    <xf numFmtId="0" fontId="3" fillId="4" borderId="24" xfId="0" applyFont="1" applyFill="1" applyBorder="1" applyAlignment="1">
      <alignment vertical="center"/>
    </xf>
    <xf numFmtId="0" fontId="3" fillId="4" borderId="25" xfId="0" applyFont="1" applyFill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33" fillId="3" borderId="6" xfId="0" applyFont="1" applyFill="1" applyBorder="1" applyAlignment="1">
      <alignment vertical="center"/>
    </xf>
    <xf numFmtId="0" fontId="33" fillId="3" borderId="7" xfId="0" applyFont="1" applyFill="1" applyBorder="1" applyAlignment="1">
      <alignment vertical="center"/>
    </xf>
    <xf numFmtId="0" fontId="33" fillId="3" borderId="6" xfId="0" applyFont="1" applyFill="1" applyBorder="1" applyAlignment="1">
      <alignment horizontal="center" vertical="center"/>
    </xf>
    <xf numFmtId="0" fontId="3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3" borderId="7" xfId="0" applyFont="1" applyFill="1" applyBorder="1" applyAlignment="1">
      <alignment vertical="center"/>
    </xf>
    <xf numFmtId="0" fontId="6" fillId="2" borderId="0" xfId="0" applyFont="1" applyFill="1" applyAlignment="1">
      <alignment vertical="top" wrapText="1"/>
    </xf>
    <xf numFmtId="0" fontId="16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top" wrapText="1"/>
    </xf>
    <xf numFmtId="0" fontId="4" fillId="2" borderId="0" xfId="0" applyFont="1" applyFill="1"/>
    <xf numFmtId="0" fontId="20" fillId="2" borderId="0" xfId="0" applyFont="1" applyFill="1" applyAlignment="1">
      <alignment vertical="center"/>
    </xf>
    <xf numFmtId="0" fontId="4" fillId="2" borderId="13" xfId="0" applyFont="1" applyFill="1" applyBorder="1"/>
    <xf numFmtId="0" fontId="4" fillId="0" borderId="0" xfId="0" applyFont="1" applyAlignment="1">
      <alignment vertical="center"/>
    </xf>
    <xf numFmtId="0" fontId="4" fillId="2" borderId="17" xfId="0" applyFont="1" applyFill="1" applyBorder="1"/>
    <xf numFmtId="0" fontId="1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1" fillId="2" borderId="0" xfId="0" applyFont="1" applyFill="1" applyAlignment="1">
      <alignment horizontal="left" vertical="center"/>
    </xf>
    <xf numFmtId="0" fontId="6" fillId="2" borderId="0" xfId="0" applyFont="1" applyFill="1" applyAlignment="1">
      <alignment vertical="center"/>
    </xf>
    <xf numFmtId="0" fontId="4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0" fontId="4" fillId="0" borderId="0" xfId="0" applyFont="1"/>
    <xf numFmtId="0" fontId="33" fillId="3" borderId="1" xfId="0" applyFont="1" applyFill="1" applyBorder="1" applyAlignment="1">
      <alignment horizontal="center" vertical="center"/>
    </xf>
    <xf numFmtId="0" fontId="16" fillId="0" borderId="0" xfId="0" applyFont="1"/>
    <xf numFmtId="0" fontId="16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4" fillId="0" borderId="8" xfId="0" applyFont="1" applyBorder="1"/>
    <xf numFmtId="0" fontId="7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/>
    </xf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6" fillId="2" borderId="0" xfId="0" applyFont="1" applyFill="1" applyAlignment="1">
      <alignment horizontal="left" vertical="center"/>
    </xf>
    <xf numFmtId="0" fontId="7" fillId="2" borderId="0" xfId="0" applyFont="1" applyFill="1"/>
    <xf numFmtId="0" fontId="24" fillId="0" borderId="0" xfId="0" applyFont="1"/>
    <xf numFmtId="0" fontId="0" fillId="0" borderId="1" xfId="0" applyBorder="1"/>
    <xf numFmtId="0" fontId="0" fillId="0" borderId="46" xfId="0" applyBorder="1"/>
    <xf numFmtId="0" fontId="30" fillId="4" borderId="1" xfId="0" applyFont="1" applyFill="1" applyBorder="1" applyAlignment="1">
      <alignment horizontal="center" vertical="center"/>
    </xf>
    <xf numFmtId="0" fontId="30" fillId="4" borderId="5" xfId="0" applyFont="1" applyFill="1" applyBorder="1" applyAlignment="1">
      <alignment horizontal="center" vertical="center"/>
    </xf>
    <xf numFmtId="0" fontId="22" fillId="2" borderId="3" xfId="0" applyFont="1" applyFill="1" applyBorder="1" applyAlignment="1" applyProtection="1">
      <alignment vertical="center"/>
      <protection locked="0"/>
    </xf>
    <xf numFmtId="0" fontId="22" fillId="2" borderId="0" xfId="0" applyFont="1" applyFill="1" applyAlignment="1" applyProtection="1">
      <alignment vertical="center"/>
      <protection locked="0"/>
    </xf>
    <xf numFmtId="0" fontId="45" fillId="2" borderId="15" xfId="0" applyFont="1" applyFill="1" applyBorder="1" applyAlignment="1" applyProtection="1">
      <alignment vertical="center"/>
      <protection locked="0"/>
    </xf>
    <xf numFmtId="0" fontId="26" fillId="2" borderId="15" xfId="0" applyFont="1" applyFill="1" applyBorder="1" applyAlignment="1" applyProtection="1">
      <alignment vertical="center"/>
      <protection locked="0"/>
    </xf>
    <xf numFmtId="0" fontId="26" fillId="2" borderId="0" xfId="0" applyFont="1" applyFill="1" applyAlignment="1" applyProtection="1">
      <alignment vertical="center"/>
      <protection locked="0"/>
    </xf>
    <xf numFmtId="0" fontId="16" fillId="2" borderId="31" xfId="0" applyFont="1" applyFill="1" applyBorder="1" applyProtection="1">
      <protection locked="0"/>
    </xf>
    <xf numFmtId="0" fontId="16" fillId="0" borderId="2" xfId="0" applyFont="1" applyBorder="1" applyAlignment="1" applyProtection="1">
      <alignment vertical="center"/>
      <protection hidden="1"/>
    </xf>
    <xf numFmtId="0" fontId="43" fillId="0" borderId="44" xfId="0" applyFont="1" applyBorder="1" applyAlignment="1" applyProtection="1">
      <alignment horizontal="center" vertical="center"/>
      <protection hidden="1"/>
    </xf>
    <xf numFmtId="0" fontId="16" fillId="0" borderId="4" xfId="0" applyFont="1" applyBorder="1" applyAlignment="1" applyProtection="1">
      <alignment horizontal="center" vertical="center"/>
      <protection hidden="1"/>
    </xf>
    <xf numFmtId="0" fontId="8" fillId="0" borderId="45" xfId="0" applyFont="1" applyBorder="1" applyAlignment="1" applyProtection="1">
      <alignment horizontal="center" vertical="center"/>
      <protection locked="0"/>
    </xf>
    <xf numFmtId="0" fontId="8" fillId="0" borderId="45" xfId="0" applyFont="1" applyBorder="1" applyAlignment="1" applyProtection="1">
      <alignment vertical="center"/>
      <protection locked="0"/>
    </xf>
    <xf numFmtId="0" fontId="4" fillId="2" borderId="14" xfId="0" applyFont="1" applyFill="1" applyBorder="1" applyProtection="1">
      <protection locked="0"/>
    </xf>
    <xf numFmtId="0" fontId="8" fillId="2" borderId="14" xfId="0" applyFont="1" applyFill="1" applyBorder="1" applyAlignment="1" applyProtection="1">
      <alignment vertical="center"/>
      <protection locked="0"/>
    </xf>
    <xf numFmtId="0" fontId="6" fillId="0" borderId="8" xfId="0" applyFont="1" applyBorder="1" applyAlignment="1" applyProtection="1">
      <alignment vertical="center"/>
      <protection hidden="1"/>
    </xf>
    <xf numFmtId="0" fontId="16" fillId="0" borderId="17" xfId="0" applyFont="1" applyBorder="1" applyAlignment="1" applyProtection="1">
      <alignment horizontal="center" vertical="center"/>
      <protection locked="0"/>
    </xf>
    <xf numFmtId="0" fontId="16" fillId="0" borderId="21" xfId="0" applyFont="1" applyBorder="1" applyAlignment="1" applyProtection="1">
      <alignment horizontal="center" vertical="center"/>
      <protection locked="0"/>
    </xf>
    <xf numFmtId="0" fontId="1" fillId="0" borderId="20" xfId="0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vertical="center"/>
      <protection locked="0"/>
    </xf>
    <xf numFmtId="0" fontId="16" fillId="0" borderId="12" xfId="0" applyFont="1" applyBorder="1" applyAlignment="1" applyProtection="1">
      <alignment vertical="center"/>
      <protection locked="0"/>
    </xf>
    <xf numFmtId="0" fontId="16" fillId="0" borderId="10" xfId="0" applyFont="1" applyBorder="1" applyAlignment="1" applyProtection="1">
      <alignment vertical="center"/>
      <protection locked="0"/>
    </xf>
    <xf numFmtId="0" fontId="16" fillId="0" borderId="11" xfId="0" applyFont="1" applyBorder="1" applyAlignment="1" applyProtection="1">
      <alignment vertical="center"/>
      <protection hidden="1"/>
    </xf>
    <xf numFmtId="0" fontId="5" fillId="0" borderId="11" xfId="0" applyFont="1" applyBorder="1" applyAlignment="1" applyProtection="1">
      <alignment vertical="center"/>
      <protection hidden="1"/>
    </xf>
    <xf numFmtId="0" fontId="46" fillId="0" borderId="23" xfId="0" applyFont="1" applyBorder="1" applyAlignment="1">
      <alignment horizontal="center"/>
    </xf>
    <xf numFmtId="0" fontId="46" fillId="0" borderId="6" xfId="0" applyFont="1" applyBorder="1" applyAlignment="1">
      <alignment horizontal="center"/>
    </xf>
    <xf numFmtId="0" fontId="46" fillId="0" borderId="23" xfId="0" applyFont="1" applyBorder="1" applyAlignment="1">
      <alignment horizontal="left"/>
    </xf>
    <xf numFmtId="0" fontId="37" fillId="9" borderId="27" xfId="0" applyFont="1" applyFill="1" applyBorder="1" applyAlignment="1">
      <alignment horizontal="center" vertical="center"/>
    </xf>
    <xf numFmtId="0" fontId="46" fillId="0" borderId="6" xfId="0" applyFont="1" applyBorder="1"/>
    <xf numFmtId="0" fontId="0" fillId="0" borderId="6" xfId="0" applyBorder="1"/>
    <xf numFmtId="0" fontId="19" fillId="0" borderId="6" xfId="0" applyFont="1" applyBorder="1"/>
    <xf numFmtId="0" fontId="0" fillId="7" borderId="6" xfId="0" applyFill="1" applyBorder="1"/>
    <xf numFmtId="0" fontId="19" fillId="7" borderId="6" xfId="0" applyFont="1" applyFill="1" applyBorder="1"/>
    <xf numFmtId="0" fontId="0" fillId="0" borderId="14" xfId="0" applyBorder="1" applyAlignment="1">
      <alignment horizontal="left"/>
    </xf>
    <xf numFmtId="0" fontId="0" fillId="0" borderId="14" xfId="0" applyBorder="1"/>
    <xf numFmtId="0" fontId="0" fillId="0" borderId="28" xfId="0" applyBorder="1"/>
    <xf numFmtId="0" fontId="0" fillId="0" borderId="53" xfId="0" applyBorder="1"/>
    <xf numFmtId="0" fontId="0" fillId="0" borderId="54" xfId="0" applyBorder="1"/>
    <xf numFmtId="0" fontId="46" fillId="0" borderId="14" xfId="0" applyFont="1" applyBorder="1"/>
    <xf numFmtId="0" fontId="15" fillId="6" borderId="52" xfId="0" applyFont="1" applyFill="1" applyBorder="1" applyAlignment="1">
      <alignment horizontal="center" vertical="center"/>
    </xf>
    <xf numFmtId="0" fontId="46" fillId="0" borderId="28" xfId="0" applyFont="1" applyBorder="1" applyAlignment="1">
      <alignment horizontal="center"/>
    </xf>
    <xf numFmtId="18" fontId="10" fillId="0" borderId="28" xfId="0" applyNumberFormat="1" applyFont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3" fillId="6" borderId="29" xfId="0" applyFont="1" applyFill="1" applyBorder="1" applyAlignment="1">
      <alignment horizontal="center" vertical="center"/>
    </xf>
    <xf numFmtId="0" fontId="24" fillId="5" borderId="34" xfId="0" applyFont="1" applyFill="1" applyBorder="1" applyAlignment="1">
      <alignment horizontal="center" vertical="center"/>
    </xf>
    <xf numFmtId="0" fontId="0" fillId="0" borderId="24" xfId="0" applyBorder="1"/>
    <xf numFmtId="0" fontId="24" fillId="5" borderId="0" xfId="0" applyFont="1" applyFill="1" applyAlignment="1">
      <alignment horizontal="center" vertical="center"/>
    </xf>
    <xf numFmtId="0" fontId="38" fillId="8" borderId="34" xfId="0" applyFont="1" applyFill="1" applyBorder="1" applyAlignment="1">
      <alignment horizontal="center" vertical="center"/>
    </xf>
    <xf numFmtId="0" fontId="38" fillId="8" borderId="0" xfId="0" applyFont="1" applyFill="1" applyAlignment="1">
      <alignment horizontal="center" vertical="center"/>
    </xf>
    <xf numFmtId="0" fontId="37" fillId="9" borderId="30" xfId="0" applyFont="1" applyFill="1" applyBorder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5" fillId="0" borderId="44" xfId="0" applyFont="1" applyBorder="1" applyAlignment="1" applyProtection="1">
      <alignment horizontal="center" vertical="center"/>
      <protection hidden="1"/>
    </xf>
    <xf numFmtId="0" fontId="4" fillId="2" borderId="55" xfId="0" applyFont="1" applyFill="1" applyBorder="1" applyAlignment="1">
      <alignment horizontal="center" vertical="center"/>
    </xf>
    <xf numFmtId="0" fontId="16" fillId="0" borderId="3" xfId="0" applyFont="1" applyBorder="1" applyAlignment="1" applyProtection="1">
      <alignment horizontal="center" vertical="center"/>
      <protection hidden="1"/>
    </xf>
    <xf numFmtId="0" fontId="1" fillId="0" borderId="32" xfId="0" applyFont="1" applyBorder="1" applyAlignment="1" applyProtection="1">
      <alignment vertical="center"/>
      <protection hidden="1"/>
    </xf>
    <xf numFmtId="0" fontId="16" fillId="0" borderId="3" xfId="0" applyFont="1" applyBorder="1" applyAlignment="1" applyProtection="1">
      <alignment vertical="center"/>
      <protection hidden="1"/>
    </xf>
    <xf numFmtId="0" fontId="11" fillId="3" borderId="19" xfId="1" applyFont="1" applyFill="1" applyBorder="1" applyAlignment="1">
      <alignment vertical="center"/>
    </xf>
    <xf numFmtId="0" fontId="16" fillId="0" borderId="8" xfId="0" applyFont="1" applyBorder="1" applyAlignment="1" applyProtection="1">
      <alignment vertical="center"/>
      <protection hidden="1"/>
    </xf>
    <xf numFmtId="0" fontId="16" fillId="0" borderId="10" xfId="0" applyFont="1" applyBorder="1" applyAlignment="1" applyProtection="1">
      <alignment vertical="center"/>
      <protection hidden="1"/>
    </xf>
    <xf numFmtId="0" fontId="5" fillId="0" borderId="10" xfId="0" applyFont="1" applyBorder="1" applyAlignment="1" applyProtection="1">
      <alignment vertical="center"/>
      <protection hidden="1"/>
    </xf>
    <xf numFmtId="0" fontId="16" fillId="0" borderId="32" xfId="0" applyFont="1" applyBorder="1" applyAlignment="1">
      <alignment vertical="center"/>
    </xf>
    <xf numFmtId="0" fontId="6" fillId="0" borderId="9" xfId="0" applyFont="1" applyBorder="1" applyAlignment="1" applyProtection="1">
      <alignment vertical="center"/>
      <protection hidden="1"/>
    </xf>
    <xf numFmtId="0" fontId="16" fillId="0" borderId="10" xfId="0" applyFont="1" applyBorder="1" applyAlignment="1">
      <alignment vertical="center"/>
    </xf>
    <xf numFmtId="0" fontId="42" fillId="0" borderId="12" xfId="0" applyFont="1" applyBorder="1" applyAlignment="1" applyProtection="1">
      <alignment vertical="center"/>
      <protection hidden="1"/>
    </xf>
    <xf numFmtId="0" fontId="5" fillId="0" borderId="10" xfId="0" applyFont="1" applyBorder="1" applyAlignment="1">
      <alignment vertical="center"/>
    </xf>
    <xf numFmtId="0" fontId="5" fillId="0" borderId="20" xfId="0" applyFont="1" applyBorder="1" applyAlignment="1">
      <alignment vertical="center"/>
    </xf>
    <xf numFmtId="0" fontId="16" fillId="0" borderId="20" xfId="0" applyFont="1" applyBorder="1" applyAlignment="1" applyProtection="1">
      <alignment horizontal="center" vertical="center"/>
      <protection locked="0"/>
    </xf>
    <xf numFmtId="0" fontId="1" fillId="0" borderId="21" xfId="0" applyFont="1" applyBorder="1" applyAlignment="1" applyProtection="1">
      <alignment horizontal="center" vertical="center"/>
      <protection locked="0"/>
    </xf>
    <xf numFmtId="0" fontId="33" fillId="3" borderId="5" xfId="1" applyFont="1" applyFill="1" applyBorder="1" applyAlignment="1">
      <alignment vertical="center"/>
    </xf>
    <xf numFmtId="0" fontId="33" fillId="3" borderId="7" xfId="0" applyFont="1" applyFill="1" applyBorder="1" applyAlignment="1">
      <alignment horizontal="center" vertical="center"/>
    </xf>
    <xf numFmtId="0" fontId="33" fillId="0" borderId="16" xfId="0" applyFont="1" applyBorder="1" applyAlignment="1">
      <alignment vertical="center"/>
    </xf>
    <xf numFmtId="0" fontId="5" fillId="0" borderId="18" xfId="0" applyFont="1" applyBorder="1" applyAlignment="1" applyProtection="1">
      <alignment horizontal="center" vertical="center"/>
      <protection locked="0" hidden="1"/>
    </xf>
    <xf numFmtId="0" fontId="33" fillId="0" borderId="10" xfId="0" applyFont="1" applyBorder="1" applyAlignment="1">
      <alignment vertical="center"/>
    </xf>
    <xf numFmtId="0" fontId="6" fillId="0" borderId="4" xfId="0" applyFont="1" applyBorder="1" applyAlignment="1" applyProtection="1">
      <alignment horizontal="center" vertical="center"/>
      <protection locked="0" hidden="1"/>
    </xf>
    <xf numFmtId="0" fontId="33" fillId="0" borderId="51" xfId="0" applyFont="1" applyBorder="1" applyAlignment="1" applyProtection="1">
      <alignment vertical="center"/>
      <protection locked="0"/>
    </xf>
    <xf numFmtId="0" fontId="33" fillId="0" borderId="13" xfId="0" applyFont="1" applyBorder="1" applyAlignment="1" applyProtection="1">
      <alignment vertical="center"/>
      <protection locked="0"/>
    </xf>
    <xf numFmtId="0" fontId="33" fillId="0" borderId="49" xfId="0" applyFont="1" applyBorder="1" applyAlignment="1" applyProtection="1">
      <alignment vertical="center"/>
      <protection locked="0"/>
    </xf>
    <xf numFmtId="0" fontId="5" fillId="0" borderId="48" xfId="0" applyFont="1" applyBorder="1" applyAlignment="1" applyProtection="1">
      <alignment horizontal="center" vertical="center"/>
      <protection locked="0"/>
    </xf>
    <xf numFmtId="0" fontId="16" fillId="0" borderId="48" xfId="0" applyFont="1" applyBorder="1" applyAlignment="1" applyProtection="1">
      <alignment horizontal="center" vertical="center"/>
      <protection locked="0"/>
    </xf>
    <xf numFmtId="0" fontId="6" fillId="0" borderId="48" xfId="0" applyFont="1" applyBorder="1" applyAlignment="1" applyProtection="1">
      <alignment horizontal="center" vertical="center"/>
      <protection locked="0"/>
    </xf>
    <xf numFmtId="0" fontId="33" fillId="3" borderId="5" xfId="0" applyFont="1" applyFill="1" applyBorder="1" applyAlignment="1">
      <alignment vertical="center"/>
    </xf>
    <xf numFmtId="0" fontId="16" fillId="0" borderId="4" xfId="0" applyFont="1" applyBorder="1" applyAlignment="1" applyProtection="1">
      <alignment horizontal="center" vertical="center"/>
      <protection locked="0" hidden="1"/>
    </xf>
    <xf numFmtId="0" fontId="33" fillId="0" borderId="51" xfId="0" applyFont="1" applyBorder="1" applyAlignment="1">
      <alignment vertical="center"/>
    </xf>
    <xf numFmtId="0" fontId="33" fillId="0" borderId="13" xfId="0" applyFont="1" applyBorder="1" applyAlignment="1">
      <alignment vertical="center"/>
    </xf>
    <xf numFmtId="0" fontId="33" fillId="0" borderId="49" xfId="0" applyFont="1" applyBorder="1" applyAlignment="1">
      <alignment vertical="center"/>
    </xf>
    <xf numFmtId="0" fontId="5" fillId="0" borderId="48" xfId="0" applyFont="1" applyBorder="1" applyAlignment="1">
      <alignment horizontal="center" vertical="center"/>
    </xf>
    <xf numFmtId="0" fontId="16" fillId="2" borderId="32" xfId="0" applyFont="1" applyFill="1" applyBorder="1" applyAlignment="1">
      <alignment vertical="center"/>
    </xf>
    <xf numFmtId="0" fontId="16" fillId="2" borderId="10" xfId="0" applyFont="1" applyFill="1" applyBorder="1" applyAlignment="1">
      <alignment vertical="center"/>
    </xf>
    <xf numFmtId="0" fontId="16" fillId="0" borderId="16" xfId="0" applyFont="1" applyBorder="1"/>
    <xf numFmtId="0" fontId="16" fillId="2" borderId="49" xfId="0" applyFont="1" applyFill="1" applyBorder="1" applyAlignment="1">
      <alignment vertical="center"/>
    </xf>
    <xf numFmtId="0" fontId="16" fillId="0" borderId="51" xfId="0" applyFont="1" applyBorder="1" applyAlignment="1">
      <alignment vertical="center"/>
    </xf>
    <xf numFmtId="0" fontId="16" fillId="0" borderId="13" xfId="0" applyFont="1" applyBorder="1" applyAlignment="1">
      <alignment vertical="center"/>
    </xf>
    <xf numFmtId="0" fontId="16" fillId="0" borderId="51" xfId="0" applyFont="1" applyBorder="1" applyAlignment="1" applyProtection="1">
      <alignment vertical="center"/>
      <protection locked="0"/>
    </xf>
    <xf numFmtId="0" fontId="16" fillId="0" borderId="13" xfId="0" applyFont="1" applyBorder="1" applyAlignment="1" applyProtection="1">
      <alignment vertical="center"/>
      <protection locked="0"/>
    </xf>
    <xf numFmtId="0" fontId="16" fillId="0" borderId="49" xfId="0" applyFont="1" applyBorder="1" applyAlignment="1" applyProtection="1">
      <alignment vertical="center"/>
      <protection locked="0"/>
    </xf>
    <xf numFmtId="0" fontId="16" fillId="0" borderId="51" xfId="0" applyFont="1" applyBorder="1" applyProtection="1">
      <protection locked="0"/>
    </xf>
    <xf numFmtId="0" fontId="16" fillId="0" borderId="13" xfId="0" applyFont="1" applyBorder="1" applyProtection="1">
      <protection locked="0"/>
    </xf>
    <xf numFmtId="0" fontId="16" fillId="0" borderId="49" xfId="0" applyFont="1" applyBorder="1" applyProtection="1">
      <protection locked="0"/>
    </xf>
    <xf numFmtId="2" fontId="7" fillId="0" borderId="33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hidden="1"/>
    </xf>
    <xf numFmtId="0" fontId="6" fillId="0" borderId="12" xfId="0" applyFont="1" applyBorder="1" applyAlignment="1" applyProtection="1">
      <alignment horizontal="left" vertical="center"/>
      <protection hidden="1"/>
    </xf>
    <xf numFmtId="0" fontId="6" fillId="0" borderId="20" xfId="0" applyFont="1" applyBorder="1" applyAlignment="1" applyProtection="1">
      <alignment horizontal="left" vertical="center"/>
      <protection hidden="1"/>
    </xf>
    <xf numFmtId="0" fontId="6" fillId="0" borderId="21" xfId="0" applyFont="1" applyBorder="1" applyAlignment="1" applyProtection="1">
      <alignment horizontal="left" vertical="center"/>
      <protection hidden="1"/>
    </xf>
    <xf numFmtId="0" fontId="48" fillId="0" borderId="10" xfId="0" applyFont="1" applyBorder="1" applyAlignment="1" applyProtection="1">
      <alignment vertical="center"/>
      <protection hidden="1"/>
    </xf>
    <xf numFmtId="0" fontId="49" fillId="0" borderId="1" xfId="0" applyFont="1" applyBorder="1"/>
    <xf numFmtId="0" fontId="49" fillId="0" borderId="50" xfId="0" applyFont="1" applyBorder="1"/>
    <xf numFmtId="0" fontId="46" fillId="0" borderId="1" xfId="0" applyFont="1" applyBorder="1"/>
    <xf numFmtId="0" fontId="46" fillId="0" borderId="50" xfId="0" applyFont="1" applyBorder="1"/>
    <xf numFmtId="0" fontId="0" fillId="0" borderId="6" xfId="0" applyBorder="1" applyAlignment="1">
      <alignment horizontal="left"/>
    </xf>
    <xf numFmtId="0" fontId="0" fillId="0" borderId="15" xfId="0" applyBorder="1"/>
    <xf numFmtId="0" fontId="10" fillId="0" borderId="2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26" xfId="0" applyFont="1" applyBorder="1" applyAlignment="1">
      <alignment horizontal="left"/>
    </xf>
    <xf numFmtId="0" fontId="46" fillId="0" borderId="0" xfId="0" applyFont="1"/>
    <xf numFmtId="0" fontId="46" fillId="0" borderId="1" xfId="0" applyFont="1" applyBorder="1" applyAlignment="1">
      <alignment horizontal="center"/>
    </xf>
    <xf numFmtId="0" fontId="46" fillId="0" borderId="1" xfId="0" applyFont="1" applyBorder="1" applyAlignment="1">
      <alignment horizontal="left"/>
    </xf>
    <xf numFmtId="0" fontId="46" fillId="0" borderId="61" xfId="0" applyFont="1" applyBorder="1"/>
    <xf numFmtId="0" fontId="10" fillId="0" borderId="62" xfId="0" applyFont="1" applyBorder="1" applyAlignment="1">
      <alignment horizontal="center"/>
    </xf>
    <xf numFmtId="0" fontId="46" fillId="2" borderId="23" xfId="0" applyFont="1" applyFill="1" applyBorder="1" applyAlignment="1">
      <alignment horizontal="center"/>
    </xf>
    <xf numFmtId="0" fontId="46" fillId="0" borderId="28" xfId="0" applyFont="1" applyBorder="1"/>
    <xf numFmtId="0" fontId="46" fillId="2" borderId="23" xfId="0" applyFont="1" applyFill="1" applyBorder="1" applyAlignment="1">
      <alignment horizontal="left"/>
    </xf>
    <xf numFmtId="0" fontId="46" fillId="2" borderId="28" xfId="0" applyFont="1" applyFill="1" applyBorder="1"/>
    <xf numFmtId="0" fontId="16" fillId="0" borderId="0" xfId="0" applyFont="1" applyAlignment="1">
      <alignment wrapText="1"/>
    </xf>
    <xf numFmtId="2" fontId="7" fillId="0" borderId="3" xfId="0" applyNumberFormat="1" applyFont="1" applyBorder="1" applyAlignment="1">
      <alignment horizontal="center" vertical="center" wrapText="1"/>
    </xf>
    <xf numFmtId="2" fontId="7" fillId="0" borderId="33" xfId="0" applyNumberFormat="1" applyFont="1" applyBorder="1" applyAlignment="1">
      <alignment horizontal="center" wrapText="1"/>
    </xf>
    <xf numFmtId="0" fontId="4" fillId="0" borderId="0" xfId="0" applyFont="1" applyAlignment="1">
      <alignment wrapText="1"/>
    </xf>
    <xf numFmtId="0" fontId="0" fillId="0" borderId="0" xfId="0" applyAlignment="1">
      <alignment wrapText="1"/>
    </xf>
    <xf numFmtId="0" fontId="46" fillId="0" borderId="15" xfId="0" applyFont="1" applyBorder="1"/>
    <xf numFmtId="0" fontId="42" fillId="0" borderId="10" xfId="0" applyFont="1" applyBorder="1" applyAlignment="1" applyProtection="1">
      <alignment vertical="center"/>
      <protection hidden="1"/>
    </xf>
    <xf numFmtId="0" fontId="52" fillId="0" borderId="10" xfId="0" applyFont="1" applyBorder="1" applyAlignment="1" applyProtection="1">
      <alignment vertical="center"/>
      <protection hidden="1"/>
    </xf>
    <xf numFmtId="0" fontId="23" fillId="2" borderId="0" xfId="0" applyFont="1" applyFill="1" applyAlignment="1">
      <alignment horizontal="center" vertical="center" wrapText="1"/>
    </xf>
    <xf numFmtId="0" fontId="0" fillId="0" borderId="50" xfId="0" applyBorder="1"/>
    <xf numFmtId="0" fontId="16" fillId="0" borderId="51" xfId="0" applyFont="1" applyBorder="1" applyAlignment="1" applyProtection="1">
      <alignment vertical="center"/>
      <protection hidden="1"/>
    </xf>
    <xf numFmtId="0" fontId="16" fillId="0" borderId="13" xfId="0" applyFont="1" applyBorder="1" applyAlignment="1" applyProtection="1">
      <alignment vertical="center"/>
      <protection hidden="1"/>
    </xf>
    <xf numFmtId="0" fontId="16" fillId="0" borderId="20" xfId="0" applyFont="1" applyBorder="1" applyAlignment="1" applyProtection="1">
      <alignment vertical="center"/>
      <protection hidden="1"/>
    </xf>
    <xf numFmtId="0" fontId="16" fillId="0" borderId="17" xfId="0" applyFont="1" applyBorder="1" applyAlignment="1" applyProtection="1">
      <alignment vertical="center"/>
      <protection hidden="1"/>
    </xf>
    <xf numFmtId="0" fontId="16" fillId="0" borderId="48" xfId="0" applyFont="1" applyBorder="1" applyAlignment="1" applyProtection="1">
      <alignment horizontal="center" vertical="center"/>
      <protection hidden="1"/>
    </xf>
    <xf numFmtId="0" fontId="16" fillId="0" borderId="48" xfId="0" applyFont="1" applyBorder="1" applyAlignment="1" applyProtection="1">
      <alignment horizontal="center" vertical="center"/>
      <protection locked="0" hidden="1"/>
    </xf>
    <xf numFmtId="0" fontId="16" fillId="0" borderId="51" xfId="0" applyFont="1" applyBorder="1"/>
    <xf numFmtId="0" fontId="5" fillId="0" borderId="0" xfId="0" applyFont="1" applyAlignment="1">
      <alignment horizontal="center" vertical="center"/>
    </xf>
    <xf numFmtId="2" fontId="7" fillId="0" borderId="14" xfId="0" applyNumberFormat="1" applyFont="1" applyBorder="1" applyAlignment="1">
      <alignment horizontal="center" vertical="center" wrapText="1"/>
    </xf>
    <xf numFmtId="2" fontId="7" fillId="0" borderId="56" xfId="0" applyNumberFormat="1" applyFont="1" applyBorder="1" applyAlignment="1">
      <alignment horizontal="center" wrapText="1"/>
    </xf>
    <xf numFmtId="2" fontId="7" fillId="0" borderId="11" xfId="0" applyNumberFormat="1" applyFont="1" applyBorder="1" applyAlignment="1">
      <alignment horizontal="center" vertical="center" wrapText="1"/>
    </xf>
    <xf numFmtId="2" fontId="7" fillId="0" borderId="12" xfId="0" applyNumberFormat="1" applyFont="1" applyBorder="1" applyAlignment="1">
      <alignment horizontal="center" wrapText="1"/>
    </xf>
    <xf numFmtId="0" fontId="46" fillId="0" borderId="5" xfId="0" applyFont="1" applyBorder="1" applyAlignment="1">
      <alignment horizontal="center" vertical="center"/>
    </xf>
    <xf numFmtId="0" fontId="10" fillId="0" borderId="61" xfId="0" applyFont="1" applyBorder="1" applyAlignment="1">
      <alignment horizontal="center"/>
    </xf>
    <xf numFmtId="0" fontId="46" fillId="2" borderId="61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10" fillId="0" borderId="25" xfId="0" applyFont="1" applyBorder="1"/>
    <xf numFmtId="0" fontId="10" fillId="0" borderId="28" xfId="0" applyFont="1" applyBorder="1"/>
    <xf numFmtId="0" fontId="17" fillId="0" borderId="28" xfId="0" applyFont="1" applyBorder="1"/>
    <xf numFmtId="0" fontId="10" fillId="0" borderId="28" xfId="0" applyFont="1" applyBorder="1" applyAlignment="1">
      <alignment horizontal="left"/>
    </xf>
    <xf numFmtId="0" fontId="17" fillId="2" borderId="28" xfId="4" applyFont="1" applyFill="1" applyBorder="1" applyAlignment="1">
      <alignment horizontal="left" vertical="center" wrapText="1"/>
    </xf>
    <xf numFmtId="0" fontId="10" fillId="0" borderId="62" xfId="0" applyFont="1" applyBorder="1"/>
    <xf numFmtId="0" fontId="10" fillId="0" borderId="53" xfId="0" applyFont="1" applyBorder="1"/>
    <xf numFmtId="0" fontId="46" fillId="0" borderId="7" xfId="0" applyFont="1" applyBorder="1"/>
    <xf numFmtId="0" fontId="10" fillId="0" borderId="53" xfId="0" applyFont="1" applyBorder="1" applyAlignment="1">
      <alignment horizontal="left"/>
    </xf>
    <xf numFmtId="0" fontId="10" fillId="0" borderId="65" xfId="0" applyFont="1" applyBorder="1" applyAlignment="1">
      <alignment horizontal="center"/>
    </xf>
    <xf numFmtId="0" fontId="0" fillId="0" borderId="64" xfId="0" applyBorder="1" applyAlignment="1">
      <alignment horizontal="center"/>
    </xf>
    <xf numFmtId="0" fontId="17" fillId="0" borderId="65" xfId="0" applyFont="1" applyBorder="1" applyAlignment="1">
      <alignment horizontal="center"/>
    </xf>
    <xf numFmtId="0" fontId="0" fillId="0" borderId="65" xfId="0" applyBorder="1" applyAlignment="1">
      <alignment horizontal="center"/>
    </xf>
    <xf numFmtId="0" fontId="46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3" fillId="0" borderId="10" xfId="0" applyFont="1" applyBorder="1" applyAlignment="1" applyProtection="1">
      <alignment vertical="center"/>
      <protection hidden="1"/>
    </xf>
    <xf numFmtId="0" fontId="53" fillId="0" borderId="10" xfId="0" applyFont="1" applyBorder="1" applyAlignment="1" applyProtection="1">
      <alignment vertical="center"/>
      <protection hidden="1"/>
    </xf>
    <xf numFmtId="0" fontId="54" fillId="0" borderId="6" xfId="0" applyFont="1" applyBorder="1"/>
    <xf numFmtId="0" fontId="46" fillId="0" borderId="6" xfId="0" applyFont="1" applyBorder="1" applyAlignment="1">
      <alignment horizontal="left"/>
    </xf>
    <xf numFmtId="0" fontId="46" fillId="0" borderId="6" xfId="0" applyFont="1" applyBorder="1" applyAlignment="1">
      <alignment horizontal="center" vertical="center"/>
    </xf>
    <xf numFmtId="49" fontId="8" fillId="0" borderId="32" xfId="0" applyNumberFormat="1" applyFont="1" applyBorder="1" applyAlignment="1">
      <alignment horizontal="center" vertical="center" wrapText="1"/>
    </xf>
    <xf numFmtId="49" fontId="8" fillId="0" borderId="3" xfId="0" applyNumberFormat="1" applyFont="1" applyBorder="1" applyAlignment="1">
      <alignment horizontal="center" vertical="center" wrapText="1"/>
    </xf>
    <xf numFmtId="2" fontId="7" fillId="0" borderId="32" xfId="0" applyNumberFormat="1" applyFont="1" applyBorder="1" applyAlignment="1">
      <alignment horizontal="center" vertical="center" wrapText="1"/>
    </xf>
    <xf numFmtId="2" fontId="7" fillId="0" borderId="3" xfId="0" applyNumberFormat="1" applyFont="1" applyBorder="1" applyAlignment="1">
      <alignment horizontal="center" vertical="center" wrapText="1"/>
    </xf>
    <xf numFmtId="2" fontId="7" fillId="0" borderId="33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 applyProtection="1">
      <alignment horizontal="center" vertical="center"/>
      <protection locked="0"/>
    </xf>
    <xf numFmtId="1" fontId="6" fillId="0" borderId="12" xfId="0" applyNumberFormat="1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16" fillId="0" borderId="32" xfId="0" applyFont="1" applyBorder="1" applyAlignment="1" applyProtection="1">
      <alignment horizontal="center" vertical="center"/>
      <protection hidden="1"/>
    </xf>
    <xf numFmtId="0" fontId="16" fillId="0" borderId="3" xfId="0" applyFont="1" applyBorder="1" applyAlignment="1" applyProtection="1">
      <alignment horizontal="center" vertical="center"/>
      <protection hidden="1"/>
    </xf>
    <xf numFmtId="0" fontId="16" fillId="0" borderId="33" xfId="0" applyFont="1" applyBorder="1" applyAlignment="1" applyProtection="1">
      <alignment horizontal="center" vertical="center"/>
      <protection hidden="1"/>
    </xf>
    <xf numFmtId="0" fontId="27" fillId="0" borderId="8" xfId="0" applyFont="1" applyBorder="1" applyAlignment="1" applyProtection="1">
      <alignment horizontal="center" vertical="center"/>
      <protection hidden="1"/>
    </xf>
    <xf numFmtId="0" fontId="27" fillId="0" borderId="9" xfId="0" applyFont="1" applyBorder="1" applyAlignment="1" applyProtection="1">
      <alignment horizontal="center" vertical="center"/>
      <protection hidden="1"/>
    </xf>
    <xf numFmtId="0" fontId="6" fillId="2" borderId="0" xfId="1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7" fillId="2" borderId="2" xfId="0" applyFont="1" applyFill="1" applyBorder="1" applyAlignment="1" applyProtection="1">
      <alignment horizontal="center" vertical="center" wrapText="1"/>
      <protection locked="0"/>
    </xf>
    <xf numFmtId="0" fontId="59" fillId="2" borderId="11" xfId="0" applyFont="1" applyFill="1" applyBorder="1" applyAlignment="1" applyProtection="1">
      <alignment horizontal="center" vertical="center" wrapText="1"/>
      <protection locked="0"/>
    </xf>
    <xf numFmtId="0" fontId="56" fillId="2" borderId="11" xfId="0" applyFont="1" applyFill="1" applyBorder="1" applyAlignment="1" applyProtection="1">
      <alignment horizontal="center" vertical="center" wrapText="1"/>
      <protection locked="0"/>
    </xf>
    <xf numFmtId="14" fontId="18" fillId="2" borderId="11" xfId="0" applyNumberFormat="1" applyFont="1" applyFill="1" applyBorder="1" applyAlignment="1" applyProtection="1">
      <alignment horizontal="center" vertical="center"/>
      <protection locked="0"/>
    </xf>
    <xf numFmtId="0" fontId="25" fillId="2" borderId="11" xfId="0" applyFont="1" applyFill="1" applyBorder="1" applyAlignment="1" applyProtection="1">
      <alignment horizontal="center" vertical="center"/>
      <protection locked="0"/>
    </xf>
    <xf numFmtId="0" fontId="25" fillId="2" borderId="11" xfId="0" applyFont="1" applyFill="1" applyBorder="1" applyAlignment="1" applyProtection="1">
      <alignment horizontal="center" vertical="top" wrapText="1"/>
      <protection locked="0"/>
    </xf>
    <xf numFmtId="0" fontId="25" fillId="2" borderId="11" xfId="0" applyFont="1" applyFill="1" applyBorder="1" applyAlignment="1" applyProtection="1">
      <alignment horizontal="center" vertical="top"/>
      <protection locked="0"/>
    </xf>
    <xf numFmtId="0" fontId="50" fillId="2" borderId="11" xfId="5" applyFill="1" applyBorder="1" applyAlignment="1" applyProtection="1">
      <alignment horizontal="center" vertical="center" wrapText="1"/>
      <protection locked="0"/>
    </xf>
    <xf numFmtId="0" fontId="23" fillId="2" borderId="11" xfId="0" applyFont="1" applyFill="1" applyBorder="1" applyAlignment="1" applyProtection="1">
      <alignment horizontal="center" vertical="center"/>
      <protection locked="0"/>
    </xf>
    <xf numFmtId="0" fontId="18" fillId="2" borderId="11" xfId="0" applyFont="1" applyFill="1" applyBorder="1" applyAlignment="1" applyProtection="1">
      <alignment horizontal="center" vertical="center"/>
      <protection locked="0"/>
    </xf>
    <xf numFmtId="0" fontId="6" fillId="0" borderId="74" xfId="0" applyFont="1" applyBorder="1" applyAlignment="1" applyProtection="1">
      <alignment horizontal="center" vertical="center"/>
      <protection hidden="1"/>
    </xf>
    <xf numFmtId="0" fontId="6" fillId="0" borderId="75" xfId="0" applyFont="1" applyBorder="1" applyAlignment="1" applyProtection="1">
      <alignment horizontal="center" vertical="center"/>
      <protection hidden="1"/>
    </xf>
    <xf numFmtId="0" fontId="6" fillId="0" borderId="76" xfId="0" applyFont="1" applyBorder="1" applyAlignment="1" applyProtection="1">
      <alignment horizontal="center" vertical="center"/>
      <protection hidden="1"/>
    </xf>
    <xf numFmtId="0" fontId="11" fillId="3" borderId="19" xfId="1" applyFont="1" applyFill="1" applyBorder="1" applyAlignment="1">
      <alignment horizontal="center" vertical="center" wrapText="1"/>
    </xf>
    <xf numFmtId="0" fontId="11" fillId="3" borderId="14" xfId="1" applyFont="1" applyFill="1" applyBorder="1" applyAlignment="1">
      <alignment horizontal="center" vertical="center" wrapText="1"/>
    </xf>
    <xf numFmtId="0" fontId="11" fillId="3" borderId="43" xfId="1" applyFont="1" applyFill="1" applyBorder="1" applyAlignment="1">
      <alignment horizontal="center" vertical="center" wrapText="1"/>
    </xf>
    <xf numFmtId="0" fontId="11" fillId="3" borderId="59" xfId="1" applyFont="1" applyFill="1" applyBorder="1" applyAlignment="1">
      <alignment horizontal="center" vertical="center" wrapText="1"/>
    </xf>
    <xf numFmtId="0" fontId="11" fillId="3" borderId="5" xfId="1" applyFont="1" applyFill="1" applyBorder="1" applyAlignment="1">
      <alignment horizontal="center" vertical="center"/>
    </xf>
    <xf numFmtId="0" fontId="11" fillId="3" borderId="6" xfId="1" applyFont="1" applyFill="1" applyBorder="1" applyAlignment="1">
      <alignment horizontal="center" vertical="center"/>
    </xf>
    <xf numFmtId="0" fontId="11" fillId="3" borderId="7" xfId="1" applyFont="1" applyFill="1" applyBorder="1" applyAlignment="1">
      <alignment horizontal="center" vertical="center"/>
    </xf>
    <xf numFmtId="0" fontId="42" fillId="3" borderId="5" xfId="1" applyFont="1" applyFill="1" applyBorder="1" applyAlignment="1">
      <alignment horizontal="center" vertical="center" wrapText="1"/>
    </xf>
    <xf numFmtId="0" fontId="42" fillId="3" borderId="7" xfId="1" applyFont="1" applyFill="1" applyBorder="1" applyAlignment="1">
      <alignment horizontal="center" vertical="center" wrapText="1"/>
    </xf>
    <xf numFmtId="0" fontId="5" fillId="3" borderId="57" xfId="0" applyFont="1" applyFill="1" applyBorder="1" applyAlignment="1">
      <alignment horizontal="center" vertical="center"/>
    </xf>
    <xf numFmtId="0" fontId="5" fillId="3" borderId="58" xfId="0" applyFont="1" applyFill="1" applyBorder="1" applyAlignment="1">
      <alignment horizontal="center" vertical="center"/>
    </xf>
    <xf numFmtId="0" fontId="5" fillId="3" borderId="67" xfId="0" applyFont="1" applyFill="1" applyBorder="1" applyAlignment="1">
      <alignment horizontal="center" vertical="center"/>
    </xf>
    <xf numFmtId="0" fontId="5" fillId="3" borderId="68" xfId="0" applyFont="1" applyFill="1" applyBorder="1" applyAlignment="1">
      <alignment horizontal="center" vertical="center"/>
    </xf>
    <xf numFmtId="0" fontId="5" fillId="3" borderId="59" xfId="0" applyFont="1" applyFill="1" applyBorder="1" applyAlignment="1">
      <alignment horizontal="center" vertical="center"/>
    </xf>
    <xf numFmtId="0" fontId="6" fillId="0" borderId="77" xfId="0" applyFont="1" applyBorder="1" applyAlignment="1" applyProtection="1">
      <alignment horizontal="center" vertical="center"/>
      <protection hidden="1"/>
    </xf>
    <xf numFmtId="0" fontId="6" fillId="0" borderId="78" xfId="0" applyFont="1" applyBorder="1" applyAlignment="1" applyProtection="1">
      <alignment horizontal="center" vertical="center"/>
      <protection hidden="1"/>
    </xf>
    <xf numFmtId="0" fontId="6" fillId="0" borderId="79" xfId="0" applyFont="1" applyBorder="1" applyAlignment="1" applyProtection="1">
      <alignment horizontal="center" vertical="center"/>
      <protection hidden="1"/>
    </xf>
    <xf numFmtId="0" fontId="6" fillId="0" borderId="67" xfId="0" applyFont="1" applyBorder="1" applyAlignment="1" applyProtection="1">
      <alignment horizontal="center" vertical="center"/>
      <protection hidden="1"/>
    </xf>
    <xf numFmtId="0" fontId="6" fillId="0" borderId="59" xfId="0" applyFont="1" applyBorder="1" applyAlignment="1" applyProtection="1">
      <alignment horizontal="center" vertical="center"/>
      <protection hidden="1"/>
    </xf>
    <xf numFmtId="0" fontId="58" fillId="0" borderId="15" xfId="0" applyFont="1" applyBorder="1" applyAlignment="1" applyProtection="1">
      <alignment horizontal="left" vertical="center" wrapText="1"/>
      <protection locked="0"/>
    </xf>
    <xf numFmtId="0" fontId="58" fillId="0" borderId="60" xfId="0" applyFont="1" applyBorder="1" applyAlignment="1" applyProtection="1">
      <alignment horizontal="left" vertical="center" wrapText="1"/>
      <protection locked="0"/>
    </xf>
    <xf numFmtId="0" fontId="58" fillId="0" borderId="0" xfId="0" applyFont="1" applyAlignment="1" applyProtection="1">
      <alignment horizontal="left" vertical="center" wrapText="1"/>
      <protection locked="0"/>
    </xf>
    <xf numFmtId="0" fontId="58" fillId="0" borderId="18" xfId="0" applyFont="1" applyBorder="1" applyAlignment="1" applyProtection="1">
      <alignment horizontal="left" vertical="center" wrapText="1"/>
      <protection locked="0"/>
    </xf>
    <xf numFmtId="0" fontId="58" fillId="0" borderId="14" xfId="0" applyFont="1" applyBorder="1" applyAlignment="1" applyProtection="1">
      <alignment horizontal="left" vertical="center" wrapText="1"/>
      <protection locked="0"/>
    </xf>
    <xf numFmtId="0" fontId="58" fillId="0" borderId="56" xfId="0" applyFont="1" applyBorder="1" applyAlignment="1" applyProtection="1">
      <alignment horizontal="left" vertical="center" wrapText="1"/>
      <protection locked="0"/>
    </xf>
    <xf numFmtId="0" fontId="5" fillId="3" borderId="2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60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21" fillId="2" borderId="0" xfId="0" applyFont="1" applyFill="1" applyAlignment="1">
      <alignment horizontal="center"/>
    </xf>
    <xf numFmtId="0" fontId="30" fillId="4" borderId="50" xfId="0" applyFont="1" applyFill="1" applyBorder="1" applyAlignment="1">
      <alignment horizontal="center" vertical="center"/>
    </xf>
    <xf numFmtId="0" fontId="30" fillId="4" borderId="5" xfId="0" applyFont="1" applyFill="1" applyBorder="1" applyAlignment="1">
      <alignment horizontal="center" vertical="center"/>
    </xf>
    <xf numFmtId="0" fontId="30" fillId="4" borderId="6" xfId="0" applyFont="1" applyFill="1" applyBorder="1" applyAlignment="1">
      <alignment horizontal="center" vertical="center"/>
    </xf>
    <xf numFmtId="0" fontId="30" fillId="4" borderId="7" xfId="0" applyFont="1" applyFill="1" applyBorder="1" applyAlignment="1">
      <alignment horizontal="center" vertical="center"/>
    </xf>
    <xf numFmtId="1" fontId="6" fillId="0" borderId="8" xfId="0" applyNumberFormat="1" applyFont="1" applyBorder="1" applyAlignment="1" applyProtection="1">
      <alignment horizontal="center" vertical="center"/>
      <protection locked="0"/>
    </xf>
    <xf numFmtId="1" fontId="6" fillId="0" borderId="9" xfId="0" applyNumberFormat="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23" fillId="2" borderId="0" xfId="0" applyFont="1" applyFill="1" applyAlignment="1">
      <alignment horizontal="right" vertical="center"/>
    </xf>
    <xf numFmtId="0" fontId="30" fillId="4" borderId="1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 vertical="center"/>
    </xf>
    <xf numFmtId="0" fontId="27" fillId="0" borderId="10" xfId="0" applyFont="1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horizontal="center" vertical="center"/>
      <protection hidden="1"/>
    </xf>
    <xf numFmtId="1" fontId="41" fillId="0" borderId="10" xfId="0" applyNumberFormat="1" applyFont="1" applyBorder="1" applyAlignment="1" applyProtection="1">
      <alignment horizontal="center" vertical="center"/>
      <protection hidden="1"/>
    </xf>
    <xf numFmtId="1" fontId="41" fillId="0" borderId="12" xfId="0" applyNumberFormat="1" applyFont="1" applyBorder="1" applyAlignment="1" applyProtection="1">
      <alignment horizontal="center" vertical="center"/>
      <protection hidden="1"/>
    </xf>
    <xf numFmtId="14" fontId="9" fillId="2" borderId="3" xfId="0" applyNumberFormat="1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/>
      <protection locked="0"/>
    </xf>
    <xf numFmtId="0" fontId="55" fillId="2" borderId="3" xfId="0" applyFont="1" applyFill="1" applyBorder="1" applyAlignment="1" applyProtection="1">
      <alignment horizontal="center"/>
      <protection locked="0"/>
    </xf>
    <xf numFmtId="2" fontId="7" fillId="0" borderId="10" xfId="0" applyNumberFormat="1" applyFont="1" applyBorder="1" applyAlignment="1">
      <alignment horizontal="center" vertical="center" wrapText="1"/>
    </xf>
    <xf numFmtId="2" fontId="7" fillId="0" borderId="11" xfId="0" applyNumberFormat="1" applyFont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 wrapText="1"/>
    </xf>
    <xf numFmtId="49" fontId="8" fillId="0" borderId="8" xfId="0" applyNumberFormat="1" applyFont="1" applyBorder="1" applyAlignment="1" applyProtection="1">
      <alignment horizontal="center" vertical="center"/>
      <protection locked="0"/>
    </xf>
    <xf numFmtId="49" fontId="8" fillId="0" borderId="2" xfId="0" applyNumberFormat="1" applyFont="1" applyBorder="1" applyAlignment="1" applyProtection="1">
      <alignment horizontal="center" vertical="center"/>
      <protection locked="0"/>
    </xf>
    <xf numFmtId="49" fontId="8" fillId="0" borderId="9" xfId="0" applyNumberFormat="1" applyFont="1" applyBorder="1" applyAlignment="1" applyProtection="1">
      <alignment horizontal="center" vertical="center"/>
      <protection locked="0"/>
    </xf>
    <xf numFmtId="49" fontId="8" fillId="0" borderId="32" xfId="0" applyNumberFormat="1" applyFont="1" applyBorder="1" applyAlignment="1" applyProtection="1">
      <alignment horizontal="center" vertical="center" wrapText="1"/>
      <protection locked="0"/>
    </xf>
    <xf numFmtId="49" fontId="8" fillId="0" borderId="3" xfId="0" applyNumberFormat="1" applyFont="1" applyBorder="1" applyAlignment="1" applyProtection="1">
      <alignment horizontal="center" vertical="center" wrapText="1"/>
      <protection locked="0"/>
    </xf>
    <xf numFmtId="49" fontId="8" fillId="0" borderId="33" xfId="0" applyNumberFormat="1" applyFont="1" applyBorder="1" applyAlignment="1" applyProtection="1">
      <alignment horizontal="center" vertical="center" wrapText="1"/>
      <protection locked="0"/>
    </xf>
    <xf numFmtId="2" fontId="7" fillId="0" borderId="8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center" vertical="center" wrapText="1"/>
    </xf>
    <xf numFmtId="49" fontId="8" fillId="0" borderId="51" xfId="0" applyNumberFormat="1" applyFont="1" applyBorder="1" applyAlignment="1" applyProtection="1">
      <alignment horizontal="center" vertical="center" wrapText="1"/>
      <protection locked="0"/>
    </xf>
    <xf numFmtId="49" fontId="8" fillId="0" borderId="13" xfId="0" applyNumberFormat="1" applyFont="1" applyBorder="1" applyAlignment="1" applyProtection="1">
      <alignment horizontal="center" vertical="center" wrapText="1"/>
      <protection locked="0"/>
    </xf>
    <xf numFmtId="49" fontId="8" fillId="0" borderId="49" xfId="0" applyNumberFormat="1" applyFont="1" applyBorder="1" applyAlignment="1" applyProtection="1">
      <alignment horizontal="center" vertical="center" wrapText="1"/>
      <protection locked="0"/>
    </xf>
    <xf numFmtId="2" fontId="7" fillId="0" borderId="19" xfId="0" applyNumberFormat="1" applyFont="1" applyBorder="1" applyAlignment="1">
      <alignment horizontal="center" vertical="center" wrapText="1"/>
    </xf>
    <xf numFmtId="2" fontId="7" fillId="0" borderId="14" xfId="0" applyNumberFormat="1" applyFont="1" applyBorder="1" applyAlignment="1">
      <alignment horizontal="center" vertical="center" wrapText="1"/>
    </xf>
    <xf numFmtId="2" fontId="7" fillId="0" borderId="56" xfId="0" applyNumberFormat="1" applyFont="1" applyBorder="1" applyAlignment="1">
      <alignment horizontal="center" vertical="center" wrapText="1"/>
    </xf>
    <xf numFmtId="1" fontId="41" fillId="0" borderId="8" xfId="0" applyNumberFormat="1" applyFont="1" applyBorder="1" applyAlignment="1" applyProtection="1">
      <alignment horizontal="center" vertical="center"/>
      <protection hidden="1"/>
    </xf>
    <xf numFmtId="1" fontId="41" fillId="0" borderId="9" xfId="0" applyNumberFormat="1" applyFont="1" applyBorder="1" applyAlignment="1" applyProtection="1">
      <alignment horizontal="center" vertical="center"/>
      <protection hidden="1"/>
    </xf>
    <xf numFmtId="0" fontId="16" fillId="2" borderId="36" xfId="0" applyFont="1" applyFill="1" applyBorder="1" applyAlignment="1">
      <alignment horizontal="left" vertical="center"/>
    </xf>
    <xf numFmtId="0" fontId="1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/>
    </xf>
    <xf numFmtId="0" fontId="8" fillId="3" borderId="1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16" fillId="0" borderId="8" xfId="0" applyFont="1" applyBorder="1" applyAlignment="1" applyProtection="1">
      <alignment horizontal="center" vertical="center"/>
      <protection hidden="1"/>
    </xf>
    <xf numFmtId="0" fontId="16" fillId="0" borderId="9" xfId="0" applyFont="1" applyBorder="1" applyAlignment="1" applyProtection="1">
      <alignment horizontal="center" vertical="center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16" fillId="0" borderId="12" xfId="0" applyFont="1" applyBorder="1" applyAlignment="1" applyProtection="1">
      <alignment horizontal="center" vertical="center"/>
      <protection hidden="1"/>
    </xf>
    <xf numFmtId="0" fontId="16" fillId="0" borderId="20" xfId="0" applyFont="1" applyBorder="1" applyAlignment="1" applyProtection="1">
      <alignment horizontal="center" vertical="center"/>
      <protection hidden="1"/>
    </xf>
    <xf numFmtId="0" fontId="16" fillId="0" borderId="21" xfId="0" applyFont="1" applyBorder="1" applyAlignment="1" applyProtection="1">
      <alignment horizontal="center" vertical="center"/>
      <protection hidden="1"/>
    </xf>
    <xf numFmtId="0" fontId="5" fillId="0" borderId="10" xfId="0" applyFont="1" applyBorder="1" applyAlignment="1" applyProtection="1">
      <alignment horizontal="center" vertical="center"/>
      <protection hidden="1"/>
    </xf>
    <xf numFmtId="0" fontId="5" fillId="0" borderId="12" xfId="0" applyFont="1" applyBorder="1" applyAlignment="1" applyProtection="1">
      <alignment horizontal="center" vertical="center"/>
      <protection hidden="1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28" fillId="2" borderId="22" xfId="0" applyFont="1" applyFill="1" applyBorder="1" applyAlignment="1" applyProtection="1">
      <alignment horizontal="left" vertical="center"/>
      <protection locked="0"/>
    </xf>
    <xf numFmtId="0" fontId="28" fillId="2" borderId="15" xfId="0" applyFont="1" applyFill="1" applyBorder="1" applyAlignment="1" applyProtection="1">
      <alignment horizontal="left" vertical="center"/>
      <protection locked="0"/>
    </xf>
    <xf numFmtId="0" fontId="28" fillId="2" borderId="60" xfId="0" applyFont="1" applyFill="1" applyBorder="1" applyAlignment="1" applyProtection="1">
      <alignment horizontal="left" vertical="center"/>
      <protection locked="0"/>
    </xf>
    <xf numFmtId="0" fontId="6" fillId="2" borderId="10" xfId="0" applyFont="1" applyFill="1" applyBorder="1" applyAlignment="1" applyProtection="1">
      <alignment horizontal="center" vertical="center"/>
      <protection locked="0"/>
    </xf>
    <xf numFmtId="0" fontId="6" fillId="2" borderId="12" xfId="0" applyFont="1" applyFill="1" applyBorder="1" applyAlignment="1" applyProtection="1">
      <alignment horizontal="center" vertical="center"/>
      <protection locked="0"/>
    </xf>
    <xf numFmtId="0" fontId="44" fillId="2" borderId="15" xfId="0" applyFont="1" applyFill="1" applyBorder="1" applyAlignment="1" applyProtection="1">
      <alignment horizontal="center" vertical="center"/>
      <protection locked="0"/>
    </xf>
    <xf numFmtId="0" fontId="30" fillId="4" borderId="50" xfId="0" applyFont="1" applyFill="1" applyBorder="1" applyAlignment="1">
      <alignment horizontal="center" vertical="center" wrapText="1"/>
    </xf>
    <xf numFmtId="0" fontId="30" fillId="4" borderId="22" xfId="0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horizontal="center" vertical="top" wrapText="1"/>
    </xf>
    <xf numFmtId="0" fontId="4" fillId="2" borderId="19" xfId="0" applyFont="1" applyFill="1" applyBorder="1" applyAlignment="1" applyProtection="1">
      <alignment horizontal="left" vertical="center"/>
      <protection locked="0"/>
    </xf>
    <xf numFmtId="0" fontId="4" fillId="2" borderId="14" xfId="0" applyFont="1" applyFill="1" applyBorder="1" applyAlignment="1" applyProtection="1">
      <alignment horizontal="left" vertical="center"/>
      <protection locked="0"/>
    </xf>
    <xf numFmtId="0" fontId="4" fillId="2" borderId="56" xfId="0" applyFont="1" applyFill="1" applyBorder="1" applyAlignment="1" applyProtection="1">
      <alignment horizontal="left" vertical="center"/>
      <protection locked="0"/>
    </xf>
    <xf numFmtId="0" fontId="6" fillId="2" borderId="51" xfId="0" applyFont="1" applyFill="1" applyBorder="1" applyAlignment="1" applyProtection="1">
      <alignment horizontal="center" vertical="center"/>
      <protection locked="0"/>
    </xf>
    <xf numFmtId="0" fontId="6" fillId="2" borderId="49" xfId="0" applyFont="1" applyFill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16" fillId="0" borderId="51" xfId="0" applyFont="1" applyBorder="1" applyAlignment="1" applyProtection="1">
      <alignment horizontal="center" vertical="center"/>
      <protection hidden="1"/>
    </xf>
    <xf numFmtId="0" fontId="16" fillId="0" borderId="49" xfId="0" applyFont="1" applyBorder="1" applyAlignment="1" applyProtection="1">
      <alignment horizontal="center" vertical="center"/>
      <protection hidden="1"/>
    </xf>
    <xf numFmtId="0" fontId="8" fillId="3" borderId="22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16" fillId="0" borderId="20" xfId="0" applyFont="1" applyBorder="1" applyAlignment="1" applyProtection="1">
      <alignment horizontal="left" vertical="center"/>
      <protection hidden="1"/>
    </xf>
    <xf numFmtId="0" fontId="16" fillId="0" borderId="17" xfId="0" applyFont="1" applyBorder="1" applyAlignment="1" applyProtection="1">
      <alignment horizontal="left" vertical="center"/>
      <protection hidden="1"/>
    </xf>
    <xf numFmtId="0" fontId="16" fillId="0" borderId="21" xfId="0" applyFont="1" applyBorder="1" applyAlignment="1" applyProtection="1">
      <alignment horizontal="left" vertical="center"/>
      <protection hidden="1"/>
    </xf>
    <xf numFmtId="49" fontId="8" fillId="0" borderId="8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2" fontId="7" fillId="0" borderId="32" xfId="0" applyNumberFormat="1" applyFont="1" applyBorder="1" applyAlignment="1">
      <alignment horizontal="center" vertical="center"/>
    </xf>
    <xf numFmtId="2" fontId="7" fillId="0" borderId="3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49" fontId="8" fillId="0" borderId="51" xfId="0" applyNumberFormat="1" applyFont="1" applyBorder="1" applyAlignment="1">
      <alignment horizontal="center" vertical="center" wrapText="1"/>
    </xf>
    <xf numFmtId="49" fontId="8" fillId="0" borderId="13" xfId="0" applyNumberFormat="1" applyFont="1" applyBorder="1" applyAlignment="1">
      <alignment horizontal="center" vertical="center" wrapText="1"/>
    </xf>
    <xf numFmtId="0" fontId="41" fillId="0" borderId="51" xfId="0" applyFont="1" applyBorder="1" applyAlignment="1" applyProtection="1">
      <alignment horizontal="center" vertical="center"/>
      <protection hidden="1"/>
    </xf>
    <xf numFmtId="0" fontId="41" fillId="0" borderId="49" xfId="0" applyFont="1" applyBorder="1" applyAlignment="1" applyProtection="1">
      <alignment horizontal="center" vertical="center"/>
      <protection hidden="1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9" xfId="0" applyFont="1" applyFill="1" applyBorder="1" applyAlignment="1" applyProtection="1">
      <alignment horizontal="center" vertical="center"/>
      <protection locked="0"/>
    </xf>
    <xf numFmtId="0" fontId="27" fillId="0" borderId="51" xfId="0" applyFont="1" applyBorder="1" applyAlignment="1" applyProtection="1">
      <alignment horizontal="center" vertical="center"/>
      <protection hidden="1"/>
    </xf>
    <xf numFmtId="0" fontId="27" fillId="0" borderId="49" xfId="0" applyFont="1" applyBorder="1" applyAlignment="1" applyProtection="1">
      <alignment horizontal="center" vertical="center"/>
      <protection hidden="1"/>
    </xf>
    <xf numFmtId="0" fontId="6" fillId="0" borderId="69" xfId="0" applyFont="1" applyBorder="1" applyAlignment="1" applyProtection="1">
      <alignment horizontal="center" vertical="center"/>
      <protection hidden="1"/>
    </xf>
    <xf numFmtId="0" fontId="6" fillId="0" borderId="70" xfId="0" applyFont="1" applyBorder="1" applyAlignment="1" applyProtection="1">
      <alignment horizontal="center" vertical="center"/>
      <protection hidden="1"/>
    </xf>
    <xf numFmtId="0" fontId="6" fillId="0" borderId="71" xfId="0" applyFont="1" applyBorder="1" applyAlignment="1" applyProtection="1">
      <alignment horizontal="center" vertical="center"/>
      <protection hidden="1"/>
    </xf>
    <xf numFmtId="0" fontId="6" fillId="0" borderId="72" xfId="0" applyFont="1" applyBorder="1" applyAlignment="1" applyProtection="1">
      <alignment horizontal="center" vertical="center"/>
      <protection hidden="1"/>
    </xf>
    <xf numFmtId="0" fontId="6" fillId="0" borderId="73" xfId="0" applyFont="1" applyBorder="1" applyAlignment="1" applyProtection="1">
      <alignment horizontal="center" vertical="center"/>
      <protection hidden="1"/>
    </xf>
    <xf numFmtId="0" fontId="6" fillId="0" borderId="43" xfId="0" applyFont="1" applyBorder="1" applyAlignment="1" applyProtection="1">
      <alignment horizontal="center" vertical="center"/>
      <protection hidden="1"/>
    </xf>
    <xf numFmtId="0" fontId="6" fillId="0" borderId="68" xfId="0" applyFont="1" applyBorder="1" applyAlignment="1" applyProtection="1">
      <alignment horizontal="center" vertical="center"/>
      <protection hidden="1"/>
    </xf>
    <xf numFmtId="0" fontId="14" fillId="6" borderId="38" xfId="0" applyFont="1" applyFill="1" applyBorder="1" applyAlignment="1">
      <alignment horizontal="center" vertical="center"/>
    </xf>
    <xf numFmtId="0" fontId="14" fillId="6" borderId="39" xfId="0" applyFont="1" applyFill="1" applyBorder="1" applyAlignment="1">
      <alignment horizontal="center" vertical="center"/>
    </xf>
    <xf numFmtId="0" fontId="13" fillId="6" borderId="63" xfId="0" applyFont="1" applyFill="1" applyBorder="1" applyAlignment="1">
      <alignment horizontal="center" vertical="center"/>
    </xf>
    <xf numFmtId="0" fontId="13" fillId="6" borderId="52" xfId="0" applyFont="1" applyFill="1" applyBorder="1" applyAlignment="1">
      <alignment horizontal="center" vertical="center"/>
    </xf>
    <xf numFmtId="0" fontId="39" fillId="9" borderId="47" xfId="0" applyFont="1" applyFill="1" applyBorder="1" applyAlignment="1">
      <alignment horizontal="center" vertical="center"/>
    </xf>
    <xf numFmtId="0" fontId="39" fillId="9" borderId="37" xfId="0" applyFont="1" applyFill="1" applyBorder="1" applyAlignment="1">
      <alignment horizontal="center" vertical="center"/>
    </xf>
    <xf numFmtId="0" fontId="36" fillId="5" borderId="47" xfId="0" applyFont="1" applyFill="1" applyBorder="1" applyAlignment="1">
      <alignment horizontal="center" vertical="center"/>
    </xf>
    <xf numFmtId="0" fontId="36" fillId="5" borderId="37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</cellXfs>
  <cellStyles count="6">
    <cellStyle name="Hipervínculo" xfId="5" builtinId="8"/>
    <cellStyle name="Normal" xfId="0" builtinId="0"/>
    <cellStyle name="Normal 2" xfId="1" xr:uid="{00000000-0005-0000-0000-000001000000}"/>
    <cellStyle name="Normal 2 2" xfId="2" xr:uid="{00000000-0005-0000-0000-000002000000}"/>
    <cellStyle name="Normal 3" xfId="3" xr:uid="{00000000-0005-0000-0000-000003000000}"/>
    <cellStyle name="Normal_FQ-OPE-01 Cadena de Custodia para Muestras de Aguas" xfId="4" xr:uid="{00000000-0005-0000-0000-000004000000}"/>
  </cellStyles>
  <dxfs count="14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border outline="0">
        <bottom style="medium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15407</xdr:colOff>
      <xdr:row>0</xdr:row>
      <xdr:rowOff>15242</xdr:rowOff>
    </xdr:from>
    <xdr:to>
      <xdr:col>5</xdr:col>
      <xdr:colOff>106963</xdr:colOff>
      <xdr:row>1</xdr:row>
      <xdr:rowOff>152299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408" t="11490" r="-1"/>
        <a:stretch/>
      </xdr:blipFill>
      <xdr:spPr bwMode="auto">
        <a:xfrm>
          <a:off x="15407" y="15242"/>
          <a:ext cx="2438354" cy="716663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15</xdr:col>
          <xdr:colOff>69850</xdr:colOff>
          <xdr:row>38</xdr:row>
          <xdr:rowOff>69850</xdr:rowOff>
        </xdr:to>
        <xdr:sp macro="" textlink="">
          <xdr:nvSpPr>
            <xdr:cNvPr id="1028" name="TempComb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A172" totalsRowShown="0" headerRowDxfId="13" dataDxfId="11" headerRowBorderDxfId="12" tableBorderDxfId="10">
  <autoFilter ref="A1:A172" xr:uid="{00000000-000C-0000-FFFF-FFFF00000000}"/>
  <tableColumns count="1">
    <tableColumn id="1" xr3:uid="{00000000-0010-0000-0000-000001000000}" name="PARAMETRO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B2:B34" totalsRowShown="0" headerRowDxfId="8" dataDxfId="7" tableBorderDxfId="6">
  <autoFilter ref="B2:B34" xr:uid="{00000000-0009-0000-0100-000004000000}"/>
  <tableColumns count="1">
    <tableColumn id="1" xr3:uid="{00000000-0010-0000-0100-000001000000}" name="MATRICES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5" displayName="Tabla5" ref="E2:E5" totalsRowShown="0" headerRowDxfId="4" tableBorderDxfId="3">
  <autoFilter ref="E2:E5" xr:uid="{00000000-0009-0000-0100-000005000000}"/>
  <tableColumns count="1">
    <tableColumn id="1" xr3:uid="{00000000-0010-0000-0200-000001000000}" name="MUESTREADOR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a6" displayName="Tabla6" ref="H2:H22" totalsRowShown="0" headerRowDxfId="2" tableBorderDxfId="1">
  <autoFilter ref="H2:H22" xr:uid="{00000000-0009-0000-0100-000006000000}"/>
  <tableColumns count="1">
    <tableColumn id="1" xr3:uid="{00000000-0010-0000-0300-000001000000}" name="COMERCIA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chora@socosani.com%20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88"/>
  <sheetViews>
    <sheetView showGridLines="0" tabSelected="1" topLeftCell="A5" zoomScale="56" zoomScaleNormal="85" zoomScaleSheetLayoutView="70" zoomScalePageLayoutView="85" workbookViewId="0">
      <selection activeCell="W38" sqref="W38"/>
    </sheetView>
  </sheetViews>
  <sheetFormatPr baseColWidth="10" defaultColWidth="11" defaultRowHeight="15.5" x14ac:dyDescent="0.35"/>
  <cols>
    <col min="1" max="1" width="5.7265625" style="71" customWidth="1"/>
    <col min="2" max="2" width="13.453125" style="71" customWidth="1"/>
    <col min="3" max="4" width="6" style="71" customWidth="1"/>
    <col min="5" max="5" width="4" style="71" customWidth="1"/>
    <col min="6" max="6" width="4.1796875" style="71" customWidth="1"/>
    <col min="7" max="7" width="4.26953125" style="71" customWidth="1"/>
    <col min="8" max="9" width="4" style="71" customWidth="1"/>
    <col min="10" max="10" width="0.7265625" style="71" customWidth="1"/>
    <col min="11" max="11" width="6.1796875" style="71" customWidth="1"/>
    <col min="12" max="12" width="4.1796875" style="71" customWidth="1"/>
    <col min="13" max="13" width="4.81640625" style="71" customWidth="1"/>
    <col min="14" max="14" width="4.7265625" style="71" customWidth="1"/>
    <col min="15" max="15" width="20.54296875" style="71" customWidth="1"/>
    <col min="16" max="16" width="11" style="71" customWidth="1"/>
    <col min="17" max="17" width="3" style="71" customWidth="1"/>
    <col min="18" max="18" width="11" style="71" customWidth="1"/>
    <col min="19" max="19" width="0.7265625" style="71" customWidth="1"/>
    <col min="20" max="21" width="5.453125" style="71" customWidth="1"/>
    <col min="22" max="22" width="7.81640625" style="71" customWidth="1"/>
    <col min="23" max="23" width="24.26953125" style="71" bestFit="1" customWidth="1"/>
    <col min="24" max="25" width="9" style="71" customWidth="1"/>
    <col min="26" max="26" width="0.7265625" style="71" customWidth="1"/>
    <col min="27" max="27" width="8.1796875" style="71" customWidth="1"/>
    <col min="28" max="28" width="14.54296875" style="71" customWidth="1"/>
    <col min="29" max="29" width="6.1796875" style="71" customWidth="1"/>
    <col min="30" max="30" width="7" style="71" customWidth="1"/>
    <col min="31" max="32" width="11" style="71" customWidth="1"/>
    <col min="33" max="16384" width="11" style="71"/>
  </cols>
  <sheetData>
    <row r="1" spans="1:30" s="60" customFormat="1" ht="45.75" customHeight="1" x14ac:dyDescent="0.6">
      <c r="B1" s="144" t="s">
        <v>316</v>
      </c>
      <c r="C1" s="10"/>
      <c r="D1" s="10"/>
      <c r="E1" s="10"/>
      <c r="F1" s="329" t="s">
        <v>265</v>
      </c>
      <c r="G1" s="329"/>
      <c r="H1" s="329"/>
      <c r="I1" s="329"/>
      <c r="J1" s="329"/>
      <c r="K1" s="329"/>
      <c r="L1" s="329"/>
      <c r="M1" s="329"/>
      <c r="N1" s="329"/>
      <c r="O1" s="329"/>
      <c r="P1" s="329"/>
      <c r="Q1" s="329"/>
      <c r="R1" s="329"/>
      <c r="S1" s="329"/>
      <c r="T1" s="329"/>
      <c r="U1" s="329"/>
      <c r="V1" s="329"/>
      <c r="W1" s="329"/>
      <c r="X1" s="329"/>
      <c r="Y1" s="329"/>
      <c r="Z1" s="329"/>
      <c r="AA1" s="329"/>
      <c r="AB1" s="329"/>
      <c r="AC1" s="10"/>
      <c r="AD1" s="10"/>
    </row>
    <row r="2" spans="1:30" s="60" customFormat="1" ht="32.25" customHeight="1" x14ac:dyDescent="0.35">
      <c r="Y2" s="349" t="s">
        <v>377</v>
      </c>
      <c r="Z2" s="349"/>
      <c r="AA2" s="349"/>
      <c r="AB2" s="349"/>
      <c r="AC2" s="349"/>
      <c r="AD2" s="95"/>
    </row>
    <row r="3" spans="1:30" s="60" customFormat="1" ht="24.75" customHeight="1" x14ac:dyDescent="0.35">
      <c r="A3" s="343" t="s">
        <v>23</v>
      </c>
      <c r="B3" s="343"/>
      <c r="C3" s="94" t="s">
        <v>341</v>
      </c>
      <c r="D3" s="94"/>
      <c r="E3" s="94"/>
      <c r="F3" s="94"/>
      <c r="G3" s="94"/>
      <c r="H3" s="94"/>
      <c r="I3" s="94"/>
      <c r="J3" s="94"/>
      <c r="K3" s="94"/>
      <c r="L3" s="94"/>
      <c r="M3" s="337" t="s">
        <v>24</v>
      </c>
      <c r="N3" s="337"/>
      <c r="O3" s="337"/>
      <c r="P3" s="348">
        <v>46060</v>
      </c>
      <c r="Q3" s="348"/>
      <c r="R3" s="348"/>
      <c r="S3" s="348"/>
      <c r="T3" s="348"/>
      <c r="U3" s="348"/>
      <c r="V3" s="60" t="s">
        <v>303</v>
      </c>
      <c r="W3" s="227" t="s">
        <v>331</v>
      </c>
      <c r="X3" s="61"/>
      <c r="Y3" s="350"/>
      <c r="Z3" s="350"/>
      <c r="AA3" s="350"/>
      <c r="AB3" s="350"/>
      <c r="AC3" s="350"/>
      <c r="AD3" s="94"/>
    </row>
    <row r="4" spans="1:30" s="60" customFormat="1" ht="3" customHeight="1" x14ac:dyDescent="0.35">
      <c r="AD4" s="62"/>
    </row>
    <row r="5" spans="1:30" s="63" customFormat="1" ht="24.75" customHeight="1" x14ac:dyDescent="0.35">
      <c r="A5" s="339" t="s">
        <v>0</v>
      </c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  <c r="Y5" s="340"/>
      <c r="Z5" s="340"/>
      <c r="AA5" s="340"/>
      <c r="AB5" s="340"/>
      <c r="AC5" s="340"/>
      <c r="AD5" s="341"/>
    </row>
    <row r="6" spans="1:30" s="60" customFormat="1" ht="63" customHeight="1" x14ac:dyDescent="0.35">
      <c r="A6" s="12" t="s">
        <v>11</v>
      </c>
      <c r="B6" s="12"/>
      <c r="C6" s="12"/>
      <c r="D6" s="12"/>
      <c r="E6" s="11"/>
      <c r="F6" s="285" t="s">
        <v>378</v>
      </c>
      <c r="G6" s="285"/>
      <c r="H6" s="285"/>
      <c r="I6" s="285"/>
      <c r="J6" s="285"/>
      <c r="K6" s="285"/>
      <c r="L6" s="285"/>
      <c r="M6" s="285"/>
      <c r="N6" s="285"/>
      <c r="O6" s="285"/>
      <c r="P6" s="285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5"/>
      <c r="AB6" s="285"/>
      <c r="AC6" s="285"/>
      <c r="AD6" s="285"/>
    </row>
    <row r="7" spans="1:30" s="60" customFormat="1" ht="52.5" customHeight="1" x14ac:dyDescent="0.35">
      <c r="A7" s="12" t="s">
        <v>10</v>
      </c>
      <c r="B7" s="12"/>
      <c r="C7" s="12"/>
      <c r="D7" s="12"/>
      <c r="E7" s="11"/>
      <c r="F7" s="287" t="s">
        <v>379</v>
      </c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/>
      <c r="X7" s="287"/>
      <c r="Y7" s="287"/>
      <c r="Z7" s="287"/>
      <c r="AA7" s="287"/>
      <c r="AB7" s="287"/>
      <c r="AC7" s="287"/>
      <c r="AD7" s="287"/>
    </row>
    <row r="8" spans="1:30" s="60" customFormat="1" ht="66.650000000000006" customHeight="1" x14ac:dyDescent="0.35">
      <c r="A8" s="12" t="s">
        <v>12</v>
      </c>
      <c r="B8" s="12"/>
      <c r="C8" s="12"/>
      <c r="D8" s="12"/>
      <c r="E8" s="11"/>
      <c r="F8" s="286" t="s">
        <v>380</v>
      </c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</row>
    <row r="9" spans="1:30" s="60" customFormat="1" ht="24.75" customHeight="1" x14ac:dyDescent="0.35">
      <c r="A9" s="12" t="s">
        <v>13</v>
      </c>
      <c r="B9" s="12"/>
      <c r="C9" s="12"/>
      <c r="D9" s="12"/>
      <c r="E9" s="11"/>
      <c r="F9" s="290" t="s">
        <v>381</v>
      </c>
      <c r="G9" s="291"/>
      <c r="H9" s="291"/>
      <c r="I9" s="291"/>
      <c r="J9" s="291"/>
      <c r="K9" s="291"/>
      <c r="L9" s="291"/>
      <c r="M9" s="291"/>
      <c r="N9" s="291"/>
      <c r="O9" s="291"/>
      <c r="P9" s="291"/>
      <c r="Q9" s="291"/>
      <c r="R9" s="291"/>
      <c r="S9" s="11" t="s">
        <v>15</v>
      </c>
      <c r="T9" s="11"/>
      <c r="U9" s="11"/>
      <c r="V9" s="7"/>
      <c r="W9" s="9"/>
      <c r="X9" s="293" t="s">
        <v>332</v>
      </c>
      <c r="Y9" s="293"/>
      <c r="Z9" s="293"/>
      <c r="AA9" s="293"/>
      <c r="AB9" s="293"/>
      <c r="AC9" s="293"/>
      <c r="AD9" s="293"/>
    </row>
    <row r="10" spans="1:30" s="60" customFormat="1" ht="24.75" customHeight="1" x14ac:dyDescent="0.35">
      <c r="A10" s="12" t="s">
        <v>181</v>
      </c>
      <c r="B10" s="12"/>
      <c r="C10" s="12"/>
      <c r="D10" s="12"/>
      <c r="E10" s="11"/>
      <c r="F10" s="289" t="s">
        <v>374</v>
      </c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11" t="s">
        <v>260</v>
      </c>
      <c r="U10" s="11"/>
      <c r="V10" s="7"/>
      <c r="W10" s="9"/>
      <c r="X10" s="292" t="s">
        <v>382</v>
      </c>
      <c r="Y10" s="289"/>
      <c r="Z10" s="289"/>
      <c r="AA10" s="289"/>
      <c r="AB10" s="289"/>
      <c r="AC10" s="289"/>
      <c r="AD10" s="289"/>
    </row>
    <row r="11" spans="1:30" s="60" customFormat="1" ht="24.75" customHeight="1" x14ac:dyDescent="0.35">
      <c r="A11" s="12" t="s">
        <v>14</v>
      </c>
      <c r="B11" s="12"/>
      <c r="C11" s="12"/>
      <c r="D11" s="12"/>
      <c r="E11" s="11"/>
      <c r="F11" s="288" t="s">
        <v>384</v>
      </c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45" t="s">
        <v>257</v>
      </c>
      <c r="T11" s="11"/>
      <c r="U11" s="11"/>
      <c r="V11" s="7"/>
      <c r="W11" s="8"/>
      <c r="X11" s="293" t="s">
        <v>383</v>
      </c>
      <c r="Y11" s="293"/>
      <c r="Z11" s="293"/>
      <c r="AA11" s="293"/>
      <c r="AB11" s="293"/>
      <c r="AC11" s="293"/>
      <c r="AD11" s="293"/>
    </row>
    <row r="12" spans="1:30" s="60" customFormat="1" ht="24.75" customHeight="1" x14ac:dyDescent="0.35">
      <c r="A12" s="11" t="s">
        <v>25</v>
      </c>
      <c r="B12" s="11"/>
      <c r="C12" s="11"/>
      <c r="D12" s="11"/>
      <c r="E12" s="11"/>
      <c r="F12" s="288" t="str">
        <f>F11</f>
        <v>/02/2026</v>
      </c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58" t="s">
        <v>88</v>
      </c>
      <c r="T12" s="58"/>
      <c r="U12" s="58"/>
      <c r="V12" s="5"/>
      <c r="W12" s="6"/>
      <c r="X12" s="294" t="s">
        <v>91</v>
      </c>
      <c r="Y12" s="294"/>
      <c r="Z12" s="294"/>
      <c r="AA12" s="294"/>
      <c r="AB12" s="294"/>
      <c r="AC12" s="294"/>
      <c r="AD12" s="294"/>
    </row>
    <row r="13" spans="1:30" s="60" customFormat="1" ht="3" customHeight="1" thickBot="1" x14ac:dyDescent="0.4">
      <c r="A13" s="342"/>
      <c r="B13" s="342"/>
      <c r="C13" s="342"/>
      <c r="D13" s="342"/>
      <c r="E13" s="342"/>
      <c r="F13" s="342"/>
      <c r="G13" s="342"/>
      <c r="H13" s="342"/>
      <c r="AD13" s="64"/>
    </row>
    <row r="14" spans="1:30" s="63" customFormat="1" ht="20.149999999999999" customHeight="1" x14ac:dyDescent="0.35">
      <c r="A14" s="46" t="s">
        <v>26</v>
      </c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8"/>
    </row>
    <row r="15" spans="1:30" s="30" customFormat="1" ht="26.25" customHeight="1" x14ac:dyDescent="0.35">
      <c r="A15" s="372" t="s">
        <v>224</v>
      </c>
      <c r="B15" s="373"/>
      <c r="C15" s="392" t="s">
        <v>385</v>
      </c>
      <c r="D15" s="392"/>
      <c r="E15" s="392"/>
      <c r="F15" s="392"/>
      <c r="G15" s="392"/>
      <c r="H15" s="392"/>
      <c r="I15" s="392"/>
      <c r="J15" s="392"/>
      <c r="K15" s="392"/>
      <c r="L15" s="392"/>
      <c r="M15" s="392"/>
      <c r="N15" s="392"/>
      <c r="O15" s="392"/>
      <c r="P15" s="392"/>
      <c r="Q15" s="392"/>
      <c r="R15" s="392"/>
      <c r="S15" s="392"/>
      <c r="T15" s="392"/>
      <c r="U15" s="392"/>
      <c r="V15" s="392"/>
      <c r="W15" s="392"/>
      <c r="X15" s="96"/>
      <c r="Y15" s="97"/>
      <c r="Z15" s="97"/>
      <c r="AA15" s="98"/>
      <c r="AB15" s="98"/>
      <c r="AC15" s="98"/>
      <c r="AD15" s="99"/>
    </row>
    <row r="16" spans="1:30" s="65" customFormat="1" ht="28.5" customHeight="1" x14ac:dyDescent="0.35">
      <c r="A16" s="92" t="s">
        <v>1</v>
      </c>
      <c r="B16" s="338" t="s">
        <v>261</v>
      </c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8"/>
      <c r="N16" s="338"/>
      <c r="O16" s="331"/>
      <c r="P16" s="330" t="s">
        <v>42</v>
      </c>
      <c r="Q16" s="330"/>
      <c r="R16" s="93" t="s">
        <v>43</v>
      </c>
      <c r="S16" s="331" t="s">
        <v>44</v>
      </c>
      <c r="T16" s="332"/>
      <c r="U16" s="333"/>
      <c r="V16" s="338" t="s">
        <v>166</v>
      </c>
      <c r="W16" s="338"/>
      <c r="X16" s="338"/>
      <c r="Y16" s="331"/>
      <c r="Z16" s="393" t="s">
        <v>65</v>
      </c>
      <c r="AA16" s="394"/>
      <c r="AB16" s="394"/>
      <c r="AC16" s="394"/>
      <c r="AD16" s="393"/>
    </row>
    <row r="17" spans="1:30" s="66" customFormat="1" ht="21.75" customHeight="1" x14ac:dyDescent="0.35">
      <c r="A17" s="146">
        <f>IF(B17&lt;&gt;"",ROW(H1),"")</f>
        <v>1</v>
      </c>
      <c r="B17" s="272" t="s">
        <v>138</v>
      </c>
      <c r="C17" s="272"/>
      <c r="D17" s="272"/>
      <c r="E17" s="272"/>
      <c r="F17" s="272"/>
      <c r="G17" s="272"/>
      <c r="H17" s="272"/>
      <c r="I17" s="272"/>
      <c r="J17" s="272"/>
      <c r="K17" s="272"/>
      <c r="L17" s="272"/>
      <c r="M17" s="272"/>
      <c r="N17" s="272"/>
      <c r="O17" s="272"/>
      <c r="P17" s="334">
        <v>3</v>
      </c>
      <c r="Q17" s="335"/>
      <c r="R17" s="147" t="str">
        <f>IF(B17="","",VLOOKUP(B17,PARAMETROS!$A$2:$F$806,2,FALSE))</f>
        <v>P.E</v>
      </c>
      <c r="S17" s="273" t="str">
        <f>IF(B17="","",VLOOKUP(B17,PARAMETROS!$A$2:$F$806,3,FALSE))</f>
        <v>500 mL</v>
      </c>
      <c r="T17" s="274"/>
      <c r="U17" s="275"/>
      <c r="V17" s="148" t="str">
        <f>IF(B17="","",VLOOKUP(B17,PARAMETROS!$A$2:$F$806,5,FALSE))</f>
        <v>.</v>
      </c>
      <c r="W17" s="149" t="str">
        <f>IF(B17="","",VLOOKUP(B17,PARAMETROS!$A$2:$F$806,4,FALSE))</f>
        <v>TIO</v>
      </c>
      <c r="X17" s="149"/>
      <c r="Y17" s="149"/>
      <c r="Z17" s="427">
        <f>IFERROR(IF(B17="","",VLOOKUP(B17,PARAMETROS!$A$2:$F$806,6,FALSE))*IF(P17&lt;=20,1,IF(P17&lt;=40,2,IF(P17&lt;=60,3,4))),"")</f>
        <v>1</v>
      </c>
      <c r="AA17" s="428"/>
      <c r="AB17" s="429" t="str">
        <f>IF(B17="","",VLOOKUP(B17,PARAMETROS!$A$2:$G$806,7,FALSE))</f>
        <v>Frasco Esteril adicional</v>
      </c>
      <c r="AC17" s="430"/>
      <c r="AD17" s="431"/>
    </row>
    <row r="18" spans="1:30" s="66" customFormat="1" ht="21.75" customHeight="1" x14ac:dyDescent="0.35">
      <c r="A18" s="146">
        <f t="shared" ref="A18:A34" si="0">IF(B18&lt;&gt;"",ROW(H2),"")</f>
        <v>2</v>
      </c>
      <c r="B18" s="272" t="s">
        <v>150</v>
      </c>
      <c r="C18" s="272"/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0">
        <v>3</v>
      </c>
      <c r="Q18" s="271"/>
      <c r="R18" s="147" t="str">
        <f>IF(B18="","",VLOOKUP(B18,PARAMETROS!$A$2:$F$806,2,FALSE))</f>
        <v>P</v>
      </c>
      <c r="S18" s="273" t="str">
        <f>IF(B18="","",VLOOKUP(B18,PARAMETROS!$A$2:$F$806,3,FALSE))</f>
        <v>5 Lt</v>
      </c>
      <c r="T18" s="274"/>
      <c r="U18" s="275"/>
      <c r="V18" s="148" t="str">
        <f>IF(B18="","",VLOOKUP(B18,PARAMETROS!$A$2:$F$806,5,FALSE))</f>
        <v xml:space="preserve">300 (G*) </v>
      </c>
      <c r="W18" s="149" t="str">
        <f>IF(B18="","",VLOOKUP(B18,PARAMETROS!$A$2:$F$806,4,FALSE))</f>
        <v>LUGOL</v>
      </c>
      <c r="X18" s="149"/>
      <c r="Y18" s="149"/>
      <c r="Z18" s="312">
        <f>IFERROR(IF(B18="","",VLOOKUP(B18,PARAMETROS!$A$2:$F$806,6,FALSE))*IF(P18&lt;=20,1,IF(P18&lt;=40,2,IF(P18&lt;=60,3,4))),"")</f>
        <v>5</v>
      </c>
      <c r="AA18" s="313"/>
      <c r="AB18" s="295" t="str">
        <f>IF(B18="","",VLOOKUP(B18,PARAMETROS!$A$2:$G$806,7,FALSE))</f>
        <v>Litros Adicional</v>
      </c>
      <c r="AC18" s="296"/>
      <c r="AD18" s="297"/>
    </row>
    <row r="19" spans="1:30" s="66" customFormat="1" ht="21.75" customHeight="1" x14ac:dyDescent="0.35">
      <c r="A19" s="146">
        <f t="shared" si="0"/>
        <v>3</v>
      </c>
      <c r="B19" s="272" t="s">
        <v>148</v>
      </c>
      <c r="C19" s="272"/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2"/>
      <c r="P19" s="270">
        <v>3</v>
      </c>
      <c r="Q19" s="271"/>
      <c r="R19" s="147" t="str">
        <f>IF(B19="","",VLOOKUP(B19,PARAMETROS!$A$2:$F$806,2,FALSE))</f>
        <v>P</v>
      </c>
      <c r="S19" s="273">
        <f>IF(B19="","",VLOOKUP(B19,PARAMETROS!$A$2:$F$806,3,FALSE))</f>
        <v>10</v>
      </c>
      <c r="T19" s="274"/>
      <c r="U19" s="275"/>
      <c r="V19" s="148" t="str">
        <f>IF(B19="","",VLOOKUP(B19,PARAMETROS!$A$2:$F$806,5,FALSE))</f>
        <v>.</v>
      </c>
      <c r="W19" s="149" t="str">
        <f>IF(B19="","",VLOOKUP(B19,PARAMETROS!$A$2:$F$806,4,FALSE))</f>
        <v>No Requiere</v>
      </c>
      <c r="X19" s="149"/>
      <c r="Y19" s="149"/>
      <c r="Z19" s="312">
        <f>IFERROR(IF(B19="","",VLOOKUP(B19,PARAMETROS!$A$2:$F$806,6,FALSE))*IF(P19&lt;=20,1,IF(P19&lt;=40,2,IF(P19&lt;=60,3,4))),"")</f>
        <v>10</v>
      </c>
      <c r="AA19" s="313"/>
      <c r="AB19" s="295" t="str">
        <f>IF(B19="","",VLOOKUP(B19,PARAMETROS!$A$2:$G$806,7,FALSE))</f>
        <v>Litros Adicional</v>
      </c>
      <c r="AC19" s="296"/>
      <c r="AD19" s="297"/>
    </row>
    <row r="20" spans="1:30" s="66" customFormat="1" ht="21.75" customHeight="1" x14ac:dyDescent="0.35">
      <c r="A20" s="146">
        <f t="shared" si="0"/>
        <v>4</v>
      </c>
      <c r="B20" s="272" t="s">
        <v>329</v>
      </c>
      <c r="C20" s="272"/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0">
        <v>3</v>
      </c>
      <c r="Q20" s="271"/>
      <c r="R20" s="147" t="str">
        <f>IF(B20="","",VLOOKUP(B20,PARAMETROS!$A$2:$F$806,2,FALSE))</f>
        <v>P.E</v>
      </c>
      <c r="S20" s="273" t="str">
        <f>IF(B20="","",VLOOKUP(B20,PARAMETROS!$A$2:$F$806,3,FALSE))</f>
        <v>1 LT</v>
      </c>
      <c r="T20" s="274"/>
      <c r="U20" s="275"/>
      <c r="V20" s="148" t="str">
        <f>IF(B20="","",VLOOKUP(B20,PARAMETROS!$A$2:$F$806,5,FALSE))</f>
        <v>.</v>
      </c>
      <c r="W20" s="149" t="str">
        <f>IF(B20="","",VLOOKUP(B20,PARAMETROS!$A$2:$F$806,4,FALSE))</f>
        <v>No Requiere</v>
      </c>
      <c r="X20" s="149"/>
      <c r="Y20" s="149"/>
      <c r="Z20" s="312" t="str">
        <f>IFERROR(IF(B20="","",VLOOKUP(B20,PARAMETROS!$A$2:$F$806,6,FALSE))*IF(P20&lt;=20,1,IF(P20&lt;=40,2,IF(P20&lt;=60,3,4))),"")</f>
        <v/>
      </c>
      <c r="AA20" s="313"/>
      <c r="AB20" s="295" t="str">
        <f>IF(B20="","",VLOOKUP(B20,PARAMETROS!$A$2:$G$806,7,FALSE))</f>
        <v>No Requiere</v>
      </c>
      <c r="AC20" s="296"/>
      <c r="AD20" s="297"/>
    </row>
    <row r="21" spans="1:30" s="66" customFormat="1" ht="21.75" customHeight="1" x14ac:dyDescent="0.35">
      <c r="A21" s="146">
        <f t="shared" si="0"/>
        <v>5</v>
      </c>
      <c r="B21" s="272" t="s">
        <v>35</v>
      </c>
      <c r="C21" s="272"/>
      <c r="D21" s="272"/>
      <c r="E21" s="272"/>
      <c r="F21" s="272"/>
      <c r="G21" s="272"/>
      <c r="H21" s="272"/>
      <c r="I21" s="272"/>
      <c r="J21" s="272"/>
      <c r="K21" s="272"/>
      <c r="L21" s="272"/>
      <c r="M21" s="272"/>
      <c r="N21" s="272"/>
      <c r="O21" s="272"/>
      <c r="P21" s="270">
        <v>3</v>
      </c>
      <c r="Q21" s="271"/>
      <c r="R21" s="147" t="str">
        <f>IF(B21="","",VLOOKUP(B21,PARAMETROS!$A$2:$F$806,2,FALSE))</f>
        <v>P</v>
      </c>
      <c r="S21" s="273" t="str">
        <f>IF(B21="","",VLOOKUP(B21,PARAMETROS!$A$2:$F$806,3,FALSE))</f>
        <v>500 mL</v>
      </c>
      <c r="T21" s="274"/>
      <c r="U21" s="275"/>
      <c r="V21" s="148" t="str">
        <f>IF(B21="","",VLOOKUP(B21,PARAMETROS!$A$2:$F$806,5,FALSE))</f>
        <v>.</v>
      </c>
      <c r="W21" s="149" t="str">
        <f>IF(B21="","",VLOOKUP(B21,PARAMETROS!$A$2:$F$806,4,FALSE))</f>
        <v>No Requiere</v>
      </c>
      <c r="X21" s="149"/>
      <c r="Y21" s="149"/>
      <c r="Z21" s="312" t="str">
        <f>IFERROR(IF(B21="","",VLOOKUP(B21,PARAMETROS!$A$2:$F$806,6,FALSE))*IF(P21&lt;=20,1,IF(P21&lt;=40,2,IF(P21&lt;=60,3,4))),"")</f>
        <v/>
      </c>
      <c r="AA21" s="313"/>
      <c r="AB21" s="295" t="str">
        <f>IF(B21="","",VLOOKUP(B21,PARAMETROS!$A$2:$G$806,7,FALSE))</f>
        <v>No Requiere</v>
      </c>
      <c r="AC21" s="296"/>
      <c r="AD21" s="297"/>
    </row>
    <row r="22" spans="1:30" s="66" customFormat="1" ht="20.25" customHeight="1" x14ac:dyDescent="0.35">
      <c r="A22" s="146">
        <f t="shared" si="0"/>
        <v>6</v>
      </c>
      <c r="B22" s="272" t="s">
        <v>387</v>
      </c>
      <c r="C22" s="272"/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2"/>
      <c r="O22" s="272"/>
      <c r="P22" s="270">
        <v>3</v>
      </c>
      <c r="Q22" s="271"/>
      <c r="R22" s="147" t="str">
        <f>IF(B22="","",VLOOKUP(B22,PARAMETROS!$A$2:$F$806,2,FALSE))</f>
        <v>-</v>
      </c>
      <c r="S22" s="273" t="str">
        <f>IF(B22="","",VLOOKUP(B22,PARAMETROS!$A$2:$F$806,3,FALSE))</f>
        <v>Campo</v>
      </c>
      <c r="T22" s="274"/>
      <c r="U22" s="275"/>
      <c r="V22" s="148" t="str">
        <f>IF(B22="","",VLOOKUP(B22,PARAMETROS!$A$2:$F$806,5,FALSE))</f>
        <v>.</v>
      </c>
      <c r="W22" s="149" t="str">
        <f>IF(B22="","",VLOOKUP(B22,PARAMETROS!$A$2:$F$806,4,FALSE))</f>
        <v>Campo</v>
      </c>
      <c r="X22" s="149"/>
      <c r="Y22" s="149"/>
      <c r="Z22" s="312" t="str">
        <f>IFERROR(IF(B22="","",VLOOKUP(B22,PARAMETROS!$A$2:$F$806,6,FALSE))*IF(P22&lt;=20,1,IF(P22&lt;=40,2,IF(P22&lt;=60,3,4))),"")</f>
        <v/>
      </c>
      <c r="AA22" s="313"/>
      <c r="AB22" s="295" t="str">
        <f>IF(B22="","",VLOOKUP(B22,PARAMETROS!$A$2:$G$806,7,FALSE))</f>
        <v>No Requiere</v>
      </c>
      <c r="AC22" s="296"/>
      <c r="AD22" s="297"/>
    </row>
    <row r="23" spans="1:30" s="66" customFormat="1" ht="23.25" customHeight="1" x14ac:dyDescent="0.35">
      <c r="A23" s="146">
        <f t="shared" si="0"/>
        <v>7</v>
      </c>
      <c r="B23" s="272" t="s">
        <v>307</v>
      </c>
      <c r="C23" s="272"/>
      <c r="D23" s="272"/>
      <c r="E23" s="272"/>
      <c r="F23" s="272"/>
      <c r="G23" s="272"/>
      <c r="H23" s="272"/>
      <c r="I23" s="272"/>
      <c r="J23" s="272"/>
      <c r="K23" s="272"/>
      <c r="L23" s="272"/>
      <c r="M23" s="272"/>
      <c r="N23" s="272"/>
      <c r="O23" s="272"/>
      <c r="P23" s="270">
        <v>3</v>
      </c>
      <c r="Q23" s="271"/>
      <c r="R23" s="147" t="str">
        <f>IF(B23="","",VLOOKUP(B23,PARAMETROS!$A$2:$F$806,2,FALSE))</f>
        <v>P</v>
      </c>
      <c r="S23" s="273" t="str">
        <f>IF(B23="","",VLOOKUP(B23,PARAMETROS!$A$2:$F$806,3,FALSE))</f>
        <v>1 Lt</v>
      </c>
      <c r="T23" s="274"/>
      <c r="U23" s="275"/>
      <c r="V23" s="148" t="str">
        <f>IF(B23="","",VLOOKUP(B23,PARAMETROS!$A$2:$F$806,5,FALSE))</f>
        <v>.</v>
      </c>
      <c r="W23" s="149" t="str">
        <f>IF(B23="","",VLOOKUP(B23,PARAMETROS!$A$2:$F$806,4,FALSE))</f>
        <v>No Requiere</v>
      </c>
      <c r="X23" s="149"/>
      <c r="Y23" s="149"/>
      <c r="Z23" s="312" t="str">
        <f>IFERROR(IF(B23="","",VLOOKUP(B23,PARAMETROS!$A$2:$F$806,6,FALSE))*IF(P23&lt;=20,1,IF(P23&lt;=40,2,IF(P23&lt;=60,3,4))),"")</f>
        <v/>
      </c>
      <c r="AA23" s="313"/>
      <c r="AB23" s="295" t="str">
        <f>IF(B23="","",VLOOKUP(B23,PARAMETROS!$A$2:$G$806,7,FALSE))</f>
        <v>No Requiere</v>
      </c>
      <c r="AC23" s="296"/>
      <c r="AD23" s="297"/>
    </row>
    <row r="24" spans="1:30" s="66" customFormat="1" ht="18.75" customHeight="1" x14ac:dyDescent="0.35">
      <c r="A24" s="146">
        <f t="shared" si="0"/>
        <v>8</v>
      </c>
      <c r="B24" s="272" t="s">
        <v>373</v>
      </c>
      <c r="C24" s="272"/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0">
        <v>3</v>
      </c>
      <c r="Q24" s="271"/>
      <c r="R24" s="147" t="str">
        <f>IF(B24="","",VLOOKUP(B24,PARAMETROS!$A$2:$F$806,2,FALSE))</f>
        <v>P</v>
      </c>
      <c r="S24" s="273" t="str">
        <f>IF(B24="","",VLOOKUP(B24,PARAMETROS!$A$2:$F$806,3,FALSE))</f>
        <v>1 Lt</v>
      </c>
      <c r="T24" s="274"/>
      <c r="U24" s="275"/>
      <c r="V24" s="148" t="str">
        <f>IF(B24="","",VLOOKUP(B24,PARAMETROS!$A$2:$F$806,5,FALSE))</f>
        <v>.</v>
      </c>
      <c r="W24" s="149" t="str">
        <f>IF(B24="","",VLOOKUP(B24,PARAMETROS!$A$2:$F$806,4,FALSE))</f>
        <v>No Requiere</v>
      </c>
      <c r="X24" s="149"/>
      <c r="Y24" s="149"/>
      <c r="Z24" s="312" t="str">
        <f>IFERROR(IF(B24="","",VLOOKUP(B24,PARAMETROS!$A$2:$F$806,6,FALSE))*IF(P24&lt;=20,1,IF(P24&lt;=40,2,IF(P24&lt;=60,3,4))),"")</f>
        <v/>
      </c>
      <c r="AA24" s="313"/>
      <c r="AB24" s="295" t="str">
        <f>IF(B24="","",VLOOKUP(B24,PARAMETROS!$A$2:$G$806,7,FALSE))</f>
        <v>No Requiere</v>
      </c>
      <c r="AC24" s="296"/>
      <c r="AD24" s="297"/>
    </row>
    <row r="25" spans="1:30" s="66" customFormat="1" ht="22.5" customHeight="1" x14ac:dyDescent="0.35">
      <c r="A25" s="146">
        <f t="shared" si="0"/>
        <v>9</v>
      </c>
      <c r="B25" s="272" t="s">
        <v>333</v>
      </c>
      <c r="C25" s="272"/>
      <c r="D25" s="272"/>
      <c r="E25" s="272"/>
      <c r="F25" s="272"/>
      <c r="G25" s="272"/>
      <c r="H25" s="272"/>
      <c r="I25" s="272"/>
      <c r="J25" s="272"/>
      <c r="K25" s="272"/>
      <c r="L25" s="272"/>
      <c r="M25" s="272"/>
      <c r="N25" s="272"/>
      <c r="O25" s="272"/>
      <c r="P25" s="270">
        <v>3</v>
      </c>
      <c r="Q25" s="271"/>
      <c r="R25" s="147" t="str">
        <f>IF(B25="","",VLOOKUP(B25,PARAMETROS!$A$2:$F$806,2,FALSE))</f>
        <v>P</v>
      </c>
      <c r="S25" s="273" t="str">
        <f>IF(B25="","",VLOOKUP(B25,PARAMETROS!$A$2:$F$806,3,FALSE))</f>
        <v>1 Lt</v>
      </c>
      <c r="T25" s="274"/>
      <c r="U25" s="275"/>
      <c r="V25" s="148" t="str">
        <f>IF(B25="","",VLOOKUP(B25,PARAMETROS!$A$2:$F$806,5,FALSE))</f>
        <v xml:space="preserve">30 (G*) </v>
      </c>
      <c r="W25" s="149" t="str">
        <f>IF(B25="","",VLOOKUP(B25,PARAMETROS!$A$2:$F$806,4,FALSE))</f>
        <v>HNO3 1:1</v>
      </c>
      <c r="X25" s="149"/>
      <c r="Y25" s="149"/>
      <c r="Z25" s="312" t="str">
        <f>IFERROR(IF(B25="","",VLOOKUP(B25,PARAMETROS!$A$2:$F$806,6,FALSE))*IF(P25&lt;=20,1,IF(P25&lt;=40,2,IF(P25&lt;=60,3,4))),"")</f>
        <v/>
      </c>
      <c r="AA25" s="313"/>
      <c r="AB25" s="295" t="str">
        <f>IF(B25="","",VLOOKUP(B25,PARAMETROS!$A$2:$G$806,7,FALSE))</f>
        <v>No Requiere</v>
      </c>
      <c r="AC25" s="296"/>
      <c r="AD25" s="297"/>
    </row>
    <row r="26" spans="1:30" s="66" customFormat="1" ht="24" customHeight="1" x14ac:dyDescent="0.35">
      <c r="A26" s="146">
        <f t="shared" si="0"/>
        <v>10</v>
      </c>
      <c r="B26" s="272" t="s">
        <v>376</v>
      </c>
      <c r="C26" s="272"/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N26" s="272"/>
      <c r="O26" s="272"/>
      <c r="P26" s="270">
        <v>3</v>
      </c>
      <c r="Q26" s="271"/>
      <c r="R26" s="147" t="str">
        <f>IF(B26="","",VLOOKUP(B26,PARAMETROS!$A$2:$F$806,2,FALSE))</f>
        <v>P</v>
      </c>
      <c r="S26" s="273" t="str">
        <f>IF(B26="","",VLOOKUP(B26,PARAMETROS!$A$2:$F$806,3,FALSE))</f>
        <v>1 Lt</v>
      </c>
      <c r="T26" s="274"/>
      <c r="U26" s="275"/>
      <c r="V26" s="148" t="str">
        <f>IF(B26="","",VLOOKUP(B26,PARAMETROS!$A$2:$F$806,5,FALSE))</f>
        <v>.</v>
      </c>
      <c r="W26" s="149" t="str">
        <f>IF(B26="","",VLOOKUP(B26,PARAMETROS!$A$2:$F$806,4,FALSE))</f>
        <v>No Requiere</v>
      </c>
      <c r="X26" s="149"/>
      <c r="Y26" s="149"/>
      <c r="Z26" s="312" t="str">
        <f>IFERROR(IF(B26="","",VLOOKUP(B26,PARAMETROS!$A$2:$F$806,6,FALSE))*IF(P26&lt;=20,1,IF(P26&lt;=40,2,IF(P26&lt;=60,3,4))),"")</f>
        <v/>
      </c>
      <c r="AA26" s="313"/>
      <c r="AB26" s="295" t="str">
        <f>IF(B26="","",VLOOKUP(B26,PARAMETROS!$A$2:$G$806,7,FALSE))</f>
        <v>No Requiere</v>
      </c>
      <c r="AC26" s="296"/>
      <c r="AD26" s="297"/>
    </row>
    <row r="27" spans="1:30" s="66" customFormat="1" ht="19.5" customHeight="1" x14ac:dyDescent="0.35">
      <c r="A27" s="146">
        <f t="shared" si="0"/>
        <v>11</v>
      </c>
      <c r="B27" s="272" t="s">
        <v>336</v>
      </c>
      <c r="C27" s="272"/>
      <c r="D27" s="272"/>
      <c r="E27" s="272"/>
      <c r="F27" s="272"/>
      <c r="G27" s="272"/>
      <c r="H27" s="272"/>
      <c r="I27" s="272"/>
      <c r="J27" s="272"/>
      <c r="K27" s="272"/>
      <c r="L27" s="272"/>
      <c r="M27" s="272"/>
      <c r="N27" s="272"/>
      <c r="O27" s="272"/>
      <c r="P27" s="270">
        <v>3</v>
      </c>
      <c r="Q27" s="271"/>
      <c r="R27" s="147" t="str">
        <f>IF(B27="","",VLOOKUP(B27,PARAMETROS!$A$2:$F$806,2,FALSE))</f>
        <v>P.A</v>
      </c>
      <c r="S27" s="273" t="str">
        <f>IF(B27="","",VLOOKUP(B27,PARAMETROS!$A$2:$F$806,3,FALSE))</f>
        <v>1 Lt</v>
      </c>
      <c r="T27" s="274"/>
      <c r="U27" s="275"/>
      <c r="V27" s="148" t="str">
        <f>IF(B27="","",VLOOKUP(B27,PARAMETROS!$A$2:$F$806,5,FALSE))</f>
        <v xml:space="preserve">100 (G*) </v>
      </c>
      <c r="W27" s="149" t="str">
        <f>IF(B27="","",VLOOKUP(B27,PARAMETROS!$A$2:$F$806,4,FALSE))</f>
        <v>NaOH 6N</v>
      </c>
      <c r="X27" s="149"/>
      <c r="Y27" s="149"/>
      <c r="Z27" s="312">
        <f>IFERROR(IF(B27="","",VLOOKUP(B27,PARAMETROS!$A$2:$F$806,6,FALSE))*IF(P27&lt;=20,1,IF(P27&lt;=40,2,IF(P27&lt;=60,3,4))),"")</f>
        <v>1</v>
      </c>
      <c r="AA27" s="313"/>
      <c r="AB27" s="295" t="str">
        <f>IF(B27="","",VLOOKUP(B27,PARAMETROS!$A$2:$G$806,7,FALSE))</f>
        <v>No Requiere</v>
      </c>
      <c r="AC27" s="296"/>
      <c r="AD27" s="297"/>
    </row>
    <row r="28" spans="1:30" s="66" customFormat="1" ht="20.25" customHeight="1" x14ac:dyDescent="0.35">
      <c r="A28" s="146">
        <f t="shared" si="0"/>
        <v>12</v>
      </c>
      <c r="B28" s="272" t="s">
        <v>133</v>
      </c>
      <c r="C28" s="272"/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0">
        <v>3</v>
      </c>
      <c r="Q28" s="271"/>
      <c r="R28" s="147" t="str">
        <f>IF(B28="","",VLOOKUP(B28,PARAMETROS!$A$2:$F$806,2,FALSE))</f>
        <v>P</v>
      </c>
      <c r="S28" s="273" t="str">
        <f>IF(B28="","",VLOOKUP(B28,PARAMETROS!$A$2:$F$806,3,FALSE))</f>
        <v>1 Lt</v>
      </c>
      <c r="T28" s="274"/>
      <c r="U28" s="275"/>
      <c r="V28" s="148" t="str">
        <f>IF(B28="","",VLOOKUP(B28,PARAMETROS!$A$2:$F$806,5,FALSE))</f>
        <v xml:space="preserve">60 (G*) </v>
      </c>
      <c r="W28" s="149" t="str">
        <f>IF(B28="","",VLOOKUP(B28,PARAMETROS!$A$2:$F$806,4,FALSE))</f>
        <v>H2SO4 1:1</v>
      </c>
      <c r="X28" s="149"/>
      <c r="Y28" s="149"/>
      <c r="Z28" s="312" t="str">
        <f>IFERROR(IF(B28="","",VLOOKUP(B28,PARAMETROS!$A$2:$F$806,6,FALSE))*IF(P28&lt;=20,1,IF(P28&lt;=40,2,IF(P28&lt;=60,3,4))),"")</f>
        <v/>
      </c>
      <c r="AA28" s="313"/>
      <c r="AB28" s="295" t="str">
        <f>IF(B28="","",VLOOKUP(B28,PARAMETROS!$A$2:$G$806,7,FALSE))</f>
        <v>No Requiere</v>
      </c>
      <c r="AC28" s="296"/>
      <c r="AD28" s="297"/>
    </row>
    <row r="29" spans="1:30" s="66" customFormat="1" ht="19.5" customHeight="1" x14ac:dyDescent="0.35">
      <c r="A29" s="146">
        <f t="shared" si="0"/>
        <v>13</v>
      </c>
      <c r="B29" s="272" t="s">
        <v>160</v>
      </c>
      <c r="C29" s="272"/>
      <c r="D29" s="272"/>
      <c r="E29" s="272"/>
      <c r="F29" s="272"/>
      <c r="G29" s="272"/>
      <c r="H29" s="272"/>
      <c r="I29" s="272"/>
      <c r="J29" s="272"/>
      <c r="K29" s="272"/>
      <c r="L29" s="272"/>
      <c r="M29" s="272"/>
      <c r="N29" s="272"/>
      <c r="O29" s="272"/>
      <c r="P29" s="270">
        <v>3</v>
      </c>
      <c r="Q29" s="271"/>
      <c r="R29" s="147" t="str">
        <f>IF(B29="","",VLOOKUP(B29,PARAMETROS!$A$2:$F$806,2,FALSE))</f>
        <v>P</v>
      </c>
      <c r="S29" s="273" t="str">
        <f>IF(B29="","",VLOOKUP(B29,PARAMETROS!$A$2:$F$806,3,FALSE))</f>
        <v>120 mL</v>
      </c>
      <c r="T29" s="274"/>
      <c r="U29" s="275"/>
      <c r="V29" s="148" t="str">
        <f>IF(B29="","",VLOOKUP(B29,PARAMETROS!$A$2:$F$806,5,FALSE))</f>
        <v>.</v>
      </c>
      <c r="W29" s="149" t="str">
        <f>IF(B29="","",VLOOKUP(B29,PARAMETROS!$A$2:$F$806,4,FALSE))</f>
        <v>No Requiere</v>
      </c>
      <c r="X29" s="149"/>
      <c r="Y29" s="149"/>
      <c r="Z29" s="312" t="str">
        <f>IFERROR(IF(B29="","",VLOOKUP(B29,PARAMETROS!$A$2:$F$806,6,FALSE))*IF(P29&lt;=20,1,IF(P29&lt;=40,2,IF(P29&lt;=60,3,4))),"")</f>
        <v/>
      </c>
      <c r="AA29" s="313"/>
      <c r="AB29" s="295" t="str">
        <f>IF(B29="","",VLOOKUP(B29,PARAMETROS!$A$2:$G$806,7,FALSE))</f>
        <v>No Requiere</v>
      </c>
      <c r="AC29" s="296"/>
      <c r="AD29" s="297"/>
    </row>
    <row r="30" spans="1:30" s="66" customFormat="1" ht="18.75" customHeight="1" x14ac:dyDescent="0.35">
      <c r="A30" s="146">
        <f t="shared" si="0"/>
        <v>14</v>
      </c>
      <c r="B30" s="272" t="s">
        <v>175</v>
      </c>
      <c r="C30" s="272"/>
      <c r="D30" s="272"/>
      <c r="E30" s="272"/>
      <c r="F30" s="272"/>
      <c r="G30" s="272"/>
      <c r="H30" s="272"/>
      <c r="I30" s="272"/>
      <c r="J30" s="272"/>
      <c r="K30" s="272"/>
      <c r="L30" s="272"/>
      <c r="M30" s="272"/>
      <c r="N30" s="272"/>
      <c r="O30" s="272"/>
      <c r="P30" s="270">
        <v>3</v>
      </c>
      <c r="Q30" s="271"/>
      <c r="R30" s="147" t="str">
        <f>IF(B30="","",VLOOKUP(B30,PARAMETROS!$A$2:$F$806,2,FALSE))</f>
        <v>P</v>
      </c>
      <c r="S30" s="273" t="str">
        <f>IF(B30="","",VLOOKUP(B30,PARAMETROS!$A$2:$F$806,3,FALSE))</f>
        <v>500 mL</v>
      </c>
      <c r="T30" s="274"/>
      <c r="U30" s="275"/>
      <c r="V30" s="148" t="str">
        <f>IF(B30="","",VLOOKUP(B30,PARAMETROS!$A$2:$F$806,5,FALSE))</f>
        <v>.</v>
      </c>
      <c r="W30" s="149" t="str">
        <f>IF(B30="","",VLOOKUP(B30,PARAMETROS!$A$2:$F$806,4,FALSE))</f>
        <v>No Requiere</v>
      </c>
      <c r="X30" s="149"/>
      <c r="Y30" s="149"/>
      <c r="Z30" s="312">
        <f>IFERROR(IF(B30="","",VLOOKUP(B30,PARAMETROS!$A$2:$F$806,6,FALSE))*IF(P30&lt;=20,1,IF(P30&lt;=40,2,IF(P30&lt;=60,3,4))),"")</f>
        <v>1</v>
      </c>
      <c r="AA30" s="313"/>
      <c r="AB30" s="295" t="str">
        <f>IF(B30="","",VLOOKUP(B30,PARAMETROS!$A$2:$G$806,7,FALSE))</f>
        <v>Frasco de adicional</v>
      </c>
      <c r="AC30" s="296"/>
      <c r="AD30" s="297"/>
    </row>
    <row r="31" spans="1:30" s="66" customFormat="1" ht="18.75" customHeight="1" x14ac:dyDescent="0.35">
      <c r="A31" s="146">
        <f t="shared" si="0"/>
        <v>15</v>
      </c>
      <c r="B31" s="272" t="s">
        <v>275</v>
      </c>
      <c r="C31" s="272"/>
      <c r="D31" s="272"/>
      <c r="E31" s="272"/>
      <c r="F31" s="272"/>
      <c r="G31" s="272"/>
      <c r="H31" s="272"/>
      <c r="I31" s="272"/>
      <c r="J31" s="272"/>
      <c r="K31" s="272"/>
      <c r="L31" s="272"/>
      <c r="M31" s="272"/>
      <c r="N31" s="272"/>
      <c r="O31" s="272"/>
      <c r="P31" s="270">
        <v>3</v>
      </c>
      <c r="Q31" s="271"/>
      <c r="R31" s="147" t="str">
        <f>IF(B31="","",VLOOKUP(B31,PARAMETROS!$A$2:$F$806,2,FALSE))</f>
        <v>P</v>
      </c>
      <c r="S31" s="273" t="str">
        <f>IF(B31="","",VLOOKUP(B31,PARAMETROS!$A$2:$F$806,3,FALSE))</f>
        <v>500 mL</v>
      </c>
      <c r="T31" s="274"/>
      <c r="U31" s="275"/>
      <c r="V31" s="148" t="str">
        <f>IF(B31="","",VLOOKUP(B31,PARAMETROS!$A$2:$F$806,5,FALSE))</f>
        <v>.</v>
      </c>
      <c r="W31" s="149" t="str">
        <f>IF(B31="","",VLOOKUP(B31,PARAMETROS!$A$2:$F$806,4,FALSE))</f>
        <v>No requiere</v>
      </c>
      <c r="X31" s="149"/>
      <c r="Y31" s="149"/>
      <c r="Z31" s="312">
        <f>IFERROR(IF(B31="","",VLOOKUP(B31,PARAMETROS!$A$2:$F$806,6,FALSE))*IF(P31&lt;=20,1,IF(P31&lt;=40,2,IF(P31&lt;=60,3,4))),"")</f>
        <v>1</v>
      </c>
      <c r="AA31" s="313"/>
      <c r="AB31" s="295" t="str">
        <f>IF(B31="","",VLOOKUP(B31,PARAMETROS!$A$2:$G$806,7,FALSE))</f>
        <v>Frasco de adicional</v>
      </c>
      <c r="AC31" s="296"/>
      <c r="AD31" s="297"/>
    </row>
    <row r="32" spans="1:30" s="66" customFormat="1" ht="18.75" customHeight="1" x14ac:dyDescent="0.35">
      <c r="A32" s="146">
        <f t="shared" si="0"/>
        <v>16</v>
      </c>
      <c r="B32" s="272" t="s">
        <v>386</v>
      </c>
      <c r="C32" s="272"/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0">
        <v>3</v>
      </c>
      <c r="Q32" s="271"/>
      <c r="R32" s="147" t="str">
        <f>IF(B32="","",VLOOKUP(B32,PARAMETROS!$A$2:$F$806,2,FALSE))</f>
        <v>P</v>
      </c>
      <c r="S32" s="273" t="str">
        <f>IF(B32="","",VLOOKUP(B32,PARAMETROS!$A$2:$F$806,3,FALSE))</f>
        <v>500 mL</v>
      </c>
      <c r="T32" s="274"/>
      <c r="U32" s="275"/>
      <c r="V32" s="148" t="str">
        <f>IF(B32="","",VLOOKUP(B32,PARAMETROS!$A$2:$F$806,5,FALSE))</f>
        <v xml:space="preserve">10 (G*) </v>
      </c>
      <c r="W32" s="149" t="str">
        <f>IF(B32="","",VLOOKUP(B32,PARAMETROS!$A$2:$F$806,4,FALSE))</f>
        <v>HNO3 1:1</v>
      </c>
      <c r="X32" s="149"/>
      <c r="Y32" s="149"/>
      <c r="Z32" s="312" t="str">
        <f>IFERROR(IF(B32="","",VLOOKUP(B32,PARAMETROS!$A$2:$F$806,6,FALSE))*IF(P32&lt;=20,1,IF(P32&lt;=40,2,IF(P32&lt;=60,3,4))),"")</f>
        <v/>
      </c>
      <c r="AA32" s="313"/>
      <c r="AB32" s="295" t="str">
        <f>IF(B32="","",VLOOKUP(B32,PARAMETROS!$A$2:$G$806,7,FALSE))</f>
        <v>No requiere</v>
      </c>
      <c r="AC32" s="296"/>
      <c r="AD32" s="297"/>
    </row>
    <row r="33" spans="1:30" s="66" customFormat="1" ht="18.75" customHeight="1" x14ac:dyDescent="0.35">
      <c r="A33" s="146">
        <f t="shared" si="0"/>
        <v>17</v>
      </c>
      <c r="B33" s="272" t="s">
        <v>81</v>
      </c>
      <c r="C33" s="272"/>
      <c r="D33" s="272"/>
      <c r="E33" s="272"/>
      <c r="F33" s="272"/>
      <c r="G33" s="272"/>
      <c r="H33" s="272"/>
      <c r="I33" s="272"/>
      <c r="J33" s="272"/>
      <c r="K33" s="272"/>
      <c r="L33" s="272"/>
      <c r="M33" s="272"/>
      <c r="N33" s="272"/>
      <c r="O33" s="272"/>
      <c r="P33" s="270">
        <v>3</v>
      </c>
      <c r="Q33" s="271"/>
      <c r="R33" s="147" t="str">
        <f>IF(B33="","",VLOOKUP(B33,PARAMETROS!$A$2:$F$806,2,FALSE))</f>
        <v>V.A</v>
      </c>
      <c r="S33" s="273" t="str">
        <f>IF(B33="","",VLOOKUP(B33,PARAMETROS!$A$2:$F$806,3,FALSE))</f>
        <v>1 Lt</v>
      </c>
      <c r="T33" s="274"/>
      <c r="U33" s="275"/>
      <c r="V33" s="148" t="str">
        <f>IF(B33="","",VLOOKUP(B33,PARAMETROS!$A$2:$F$806,5,FALSE))</f>
        <v>.</v>
      </c>
      <c r="W33" s="149" t="str">
        <f>IF(B33="","",VLOOKUP(B33,PARAMETROS!$A$2:$F$806,4,FALSE))</f>
        <v>No requiere</v>
      </c>
      <c r="X33" s="149"/>
      <c r="Y33" s="149"/>
      <c r="Z33" s="312">
        <f>IFERROR(IF(B33="","",VLOOKUP(B33,PARAMETROS!$A$2:$F$806,6,FALSE))*IF(P33&lt;=20,1,IF(P33&lt;=40,2,IF(P33&lt;=60,3,4))),"")</f>
        <v>3</v>
      </c>
      <c r="AA33" s="313"/>
      <c r="AB33" s="295" t="str">
        <f>IF(B33="","",VLOOKUP(B33,PARAMETROS!$A$2:$G$806,7,FALSE))</f>
        <v>Frascos adicionales</v>
      </c>
      <c r="AC33" s="296"/>
      <c r="AD33" s="297"/>
    </row>
    <row r="34" spans="1:30" s="66" customFormat="1" ht="18.75" customHeight="1" x14ac:dyDescent="0.35">
      <c r="A34" s="146">
        <f t="shared" si="0"/>
        <v>18</v>
      </c>
      <c r="B34" s="272" t="s">
        <v>343</v>
      </c>
      <c r="C34" s="272"/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0">
        <v>3</v>
      </c>
      <c r="Q34" s="271"/>
      <c r="R34" s="147" t="str">
        <f>IF(B34="","",VLOOKUP(B34,PARAMETROS!$A$2:$F$806,2,FALSE))</f>
        <v>P.E</v>
      </c>
      <c r="S34" s="273" t="str">
        <f>IF(B34="","",VLOOKUP(B34,PARAMETROS!$A$2:$F$806,3,FALSE))</f>
        <v>500 mL</v>
      </c>
      <c r="T34" s="274"/>
      <c r="U34" s="275"/>
      <c r="V34" s="148" t="str">
        <f>IF(B34="","",VLOOKUP(B34,PARAMETROS!$A$2:$F$806,5,FALSE))</f>
        <v>.</v>
      </c>
      <c r="W34" s="149" t="str">
        <f>IF(B34="","",VLOOKUP(B34,PARAMETROS!$A$2:$F$806,4,FALSE))</f>
        <v>No Requiere</v>
      </c>
      <c r="X34" s="149"/>
      <c r="Y34" s="149"/>
      <c r="Z34" s="312" t="str">
        <f>IFERROR(IF(B34="","",VLOOKUP(B34,PARAMETROS!$A$2:$F$806,6,FALSE))*IF(P34&lt;=20,1,IF(P34&lt;=40,2,IF(P34&lt;=60,3,4))),"")</f>
        <v/>
      </c>
      <c r="AA34" s="313"/>
      <c r="AB34" s="295" t="str">
        <f>IF(B34="","",VLOOKUP(B34,PARAMETROS!$A$2:$G$806,7,FALSE))</f>
        <v>No Requiere</v>
      </c>
      <c r="AC34" s="296"/>
      <c r="AD34" s="297"/>
    </row>
    <row r="35" spans="1:30" s="66" customFormat="1" ht="18.75" customHeight="1" x14ac:dyDescent="0.35">
      <c r="A35" s="146">
        <f t="shared" ref="A35" si="1">IF(B35&lt;&gt;"",ROW(H18),"")</f>
        <v>18</v>
      </c>
      <c r="B35" s="272" t="s">
        <v>344</v>
      </c>
      <c r="C35" s="272"/>
      <c r="D35" s="272"/>
      <c r="E35" s="272"/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0">
        <v>3</v>
      </c>
      <c r="Q35" s="271"/>
      <c r="R35" s="147" t="str">
        <f>IF(B35="","",VLOOKUP(B35,PARAMETROS!$A$2:$F$806,2,FALSE))</f>
        <v>P.E</v>
      </c>
      <c r="S35" s="273" t="str">
        <f>IF(B35="","",VLOOKUP(B35,PARAMETROS!$A$2:$F$806,3,FALSE))</f>
        <v>500 mL</v>
      </c>
      <c r="T35" s="274"/>
      <c r="U35" s="275"/>
      <c r="V35" s="148" t="str">
        <f>IF(B35="","",VLOOKUP(B35,PARAMETROS!$A$2:$F$806,5,FALSE))</f>
        <v>.</v>
      </c>
      <c r="W35" s="149" t="str">
        <f>IF(B35="","",VLOOKUP(B35,PARAMETROS!$A$2:$F$806,4,FALSE))</f>
        <v>No Requiere</v>
      </c>
      <c r="X35" s="149"/>
      <c r="Y35" s="149"/>
      <c r="Z35" s="312" t="str">
        <f>IFERROR(IF(B35="","",VLOOKUP(B35,PARAMETROS!$A$2:$F$806,6,FALSE))*IF(P35&lt;=20,1,IF(P35&lt;=40,2,IF(P35&lt;=60,3,4))),"")</f>
        <v/>
      </c>
      <c r="AA35" s="313"/>
      <c r="AB35" s="295" t="str">
        <f>IF(B35="","",VLOOKUP(B35,PARAMETROS!$A$2:$G$806,7,FALSE))</f>
        <v>No Requiere</v>
      </c>
      <c r="AC35" s="296"/>
      <c r="AD35" s="297"/>
    </row>
    <row r="36" spans="1:30" s="66" customFormat="1" ht="18.75" customHeight="1" x14ac:dyDescent="0.35">
      <c r="A36" s="146">
        <f>IF(B36&lt;&gt;"",ROW(H19),"")</f>
        <v>19</v>
      </c>
      <c r="B36" s="272" t="s">
        <v>345</v>
      </c>
      <c r="C36" s="272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0">
        <v>3</v>
      </c>
      <c r="Q36" s="271"/>
      <c r="R36" s="147" t="str">
        <f>IF(B36="","",VLOOKUP(B36,PARAMETROS!$A$2:$F$806,2,FALSE))</f>
        <v>P.E</v>
      </c>
      <c r="S36" s="273" t="str">
        <f>IF(B36="","",VLOOKUP(B36,PARAMETROS!$A$2:$F$806,3,FALSE))</f>
        <v>500 mL</v>
      </c>
      <c r="T36" s="274"/>
      <c r="U36" s="275"/>
      <c r="V36" s="148" t="str">
        <f>IF(B36="","",VLOOKUP(B36,PARAMETROS!$A$2:$F$806,5,FALSE))</f>
        <v>.</v>
      </c>
      <c r="W36" s="149" t="str">
        <f>IF(B36="","",VLOOKUP(B36,PARAMETROS!$A$2:$F$806,4,FALSE))</f>
        <v>No Requiere</v>
      </c>
      <c r="X36" s="149"/>
      <c r="Y36" s="149"/>
      <c r="Z36" s="312" t="str">
        <f>IFERROR(IF(B36="","",VLOOKUP(B36,PARAMETROS!$A$2:$F$806,6,FALSE))*IF(P36&lt;=20,1,IF(P36&lt;=40,2,IF(P36&lt;=60,3,4))),"")</f>
        <v/>
      </c>
      <c r="AA36" s="313"/>
      <c r="AB36" s="295" t="str">
        <f>IF(B36="","",VLOOKUP(B36,PARAMETROS!$A$2:$G$806,7,FALSE))</f>
        <v>No Requiere</v>
      </c>
      <c r="AC36" s="296"/>
      <c r="AD36" s="297"/>
    </row>
    <row r="37" spans="1:30" s="66" customFormat="1" ht="18.75" customHeight="1" x14ac:dyDescent="0.35">
      <c r="A37" s="146">
        <f>IF(B37&lt;&gt;"",ROW(H19),"")</f>
        <v>19</v>
      </c>
      <c r="B37" s="272" t="s">
        <v>272</v>
      </c>
      <c r="C37" s="272"/>
      <c r="D37" s="272"/>
      <c r="E37" s="272"/>
      <c r="F37" s="272"/>
      <c r="G37" s="272"/>
      <c r="H37" s="272"/>
      <c r="I37" s="272"/>
      <c r="J37" s="272"/>
      <c r="K37" s="272"/>
      <c r="L37" s="272"/>
      <c r="M37" s="272"/>
      <c r="N37" s="272"/>
      <c r="O37" s="272"/>
      <c r="P37" s="270">
        <v>3</v>
      </c>
      <c r="Q37" s="271"/>
      <c r="R37" s="147" t="str">
        <f>IF(B37="","",VLOOKUP(B37,PARAMETROS!$A$2:$F$806,2,FALSE))</f>
        <v>P</v>
      </c>
      <c r="S37" s="273" t="str">
        <f>IF(B37="","",VLOOKUP(B37,PARAMETROS!$A$2:$F$806,3,FALSE))</f>
        <v>1 Lt</v>
      </c>
      <c r="T37" s="274"/>
      <c r="U37" s="275"/>
      <c r="V37" s="148" t="str">
        <f>IF(B37="","",VLOOKUP(B37,PARAMETROS!$A$2:$F$806,5,FALSE))</f>
        <v>.</v>
      </c>
      <c r="W37" s="149" t="str">
        <f>IF(B37="","",VLOOKUP(B37,PARAMETROS!$A$2:$F$806,4,FALSE))</f>
        <v>No Requiere</v>
      </c>
      <c r="X37" s="149"/>
      <c r="Y37" s="149"/>
      <c r="Z37" s="312">
        <f>IFERROR(IF(B37="","",VLOOKUP(B37,PARAMETROS!$A$2:$F$806,6,FALSE))*IF(P37&lt;=20,1,IF(P37&lt;=40,2,IF(P37&lt;=60,3,4))),"")</f>
        <v>1</v>
      </c>
      <c r="AA37" s="313"/>
      <c r="AB37" s="295" t="str">
        <f>IF(B37="","",VLOOKUP(B37,PARAMETROS!$A$2:$G$806,7,FALSE))</f>
        <v>Frasco adicional</v>
      </c>
      <c r="AC37" s="296"/>
      <c r="AD37" s="297"/>
    </row>
    <row r="38" spans="1:30" s="66" customFormat="1" ht="18.75" customHeight="1" x14ac:dyDescent="0.35">
      <c r="A38" s="146">
        <f>IF(B38&lt;&gt;"",ROW(H21),"")</f>
        <v>21</v>
      </c>
      <c r="B38" s="272" t="s">
        <v>388</v>
      </c>
      <c r="C38" s="272"/>
      <c r="D38" s="272"/>
      <c r="E38" s="272"/>
      <c r="F38" s="272"/>
      <c r="G38" s="272"/>
      <c r="H38" s="272"/>
      <c r="I38" s="272"/>
      <c r="J38" s="272"/>
      <c r="K38" s="272"/>
      <c r="L38" s="272"/>
      <c r="M38" s="272"/>
      <c r="N38" s="272"/>
      <c r="O38" s="272"/>
      <c r="P38" s="270">
        <v>3</v>
      </c>
      <c r="Q38" s="271"/>
      <c r="R38" s="147" t="str">
        <f>IF(B38="","",VLOOKUP(B38,PARAMETROS!$A$2:$F$806,2,FALSE))</f>
        <v>P.E</v>
      </c>
      <c r="S38" s="273" t="str">
        <f>IF(B38="","",VLOOKUP(B38,PARAMETROS!$A$2:$F$806,3,FALSE))</f>
        <v>500 mL</v>
      </c>
      <c r="T38" s="274"/>
      <c r="U38" s="275"/>
      <c r="V38" s="148" t="str">
        <f>IF(B38="","",VLOOKUP(B38,PARAMETROS!$A$2:$F$806,5,FALSE))</f>
        <v>.</v>
      </c>
      <c r="W38" s="149" t="str">
        <f>IF(B38="","",VLOOKUP(B38,PARAMETROS!$A$2:$F$806,4,FALSE))</f>
        <v>No requiere</v>
      </c>
      <c r="X38" s="149"/>
      <c r="Y38" s="149"/>
      <c r="Z38" s="312" t="str">
        <f>IFERROR(IF(B38="","",VLOOKUP(B38,PARAMETROS!$A$2:$F$806,6,FALSE))*IF(P38&lt;=20,1,IF(P38&lt;=40,2,IF(P38&lt;=60,3,4))),"")</f>
        <v/>
      </c>
      <c r="AA38" s="313"/>
      <c r="AB38" s="295" t="str">
        <f>IF(B38="","",VLOOKUP(B38,PARAMETROS!$A$2:$G$806,7,FALSE))</f>
        <v>No Requiere</v>
      </c>
      <c r="AC38" s="296"/>
      <c r="AD38" s="297"/>
    </row>
    <row r="39" spans="1:30" s="66" customFormat="1" ht="18.75" customHeight="1" x14ac:dyDescent="0.35">
      <c r="A39" s="146">
        <f t="shared" ref="A39:A47" si="2">IF(B39&lt;&gt;"",ROW(H20),"")</f>
        <v>20</v>
      </c>
      <c r="B39" s="272" t="s">
        <v>149</v>
      </c>
      <c r="C39" s="272"/>
      <c r="D39" s="272"/>
      <c r="E39" s="272"/>
      <c r="F39" s="272"/>
      <c r="G39" s="272"/>
      <c r="H39" s="272"/>
      <c r="I39" s="272"/>
      <c r="J39" s="272"/>
      <c r="K39" s="272"/>
      <c r="L39" s="272"/>
      <c r="M39" s="272"/>
      <c r="N39" s="272"/>
      <c r="O39" s="272"/>
      <c r="P39" s="270">
        <v>3</v>
      </c>
      <c r="Q39" s="271"/>
      <c r="R39" s="147" t="str">
        <f>IF(B39="","",VLOOKUP(B39,PARAMETROS!$A$2:$F$806,2,FALSE))</f>
        <v>P</v>
      </c>
      <c r="S39" s="273" t="str">
        <f>IF(B39="","",VLOOKUP(B39,PARAMETROS!$A$2:$F$806,3,FALSE))</f>
        <v>500 mL</v>
      </c>
      <c r="T39" s="274"/>
      <c r="U39" s="275"/>
      <c r="V39" s="148" t="str">
        <f>IF(B39="","",VLOOKUP(B39,PARAMETROS!$A$2:$F$806,5,FALSE))</f>
        <v xml:space="preserve">20 (G*) </v>
      </c>
      <c r="W39" s="149" t="str">
        <f>IF(B39="","",VLOOKUP(B39,PARAMETROS!$A$2:$F$806,4,FALSE))</f>
        <v>H2SO4 1:1</v>
      </c>
      <c r="X39" s="149"/>
      <c r="Y39" s="149"/>
      <c r="Z39" s="312" t="str">
        <f>IFERROR(IF(B39="","",VLOOKUP(B39,PARAMETROS!$A$2:$F$806,6,FALSE))*IF(P39&lt;=20,1,IF(P39&lt;=40,2,IF(P39&lt;=60,3,4))),"")</f>
        <v/>
      </c>
      <c r="AA39" s="313"/>
      <c r="AB39" s="295" t="str">
        <f>IF(B39="","",VLOOKUP(B39,PARAMETROS!$A$2:$G$806,7,FALSE))</f>
        <v>No requiere</v>
      </c>
      <c r="AC39" s="296"/>
      <c r="AD39" s="297"/>
    </row>
    <row r="40" spans="1:30" s="66" customFormat="1" ht="18.75" customHeight="1" x14ac:dyDescent="0.35">
      <c r="A40" s="146">
        <f t="shared" si="2"/>
        <v>21</v>
      </c>
      <c r="B40" s="272" t="s">
        <v>178</v>
      </c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2"/>
      <c r="P40" s="270">
        <v>3</v>
      </c>
      <c r="Q40" s="271"/>
      <c r="R40" s="147" t="str">
        <f>IF(B40="","",VLOOKUP(B40,PARAMETROS!$A$2:$F$806,2,FALSE))</f>
        <v>P</v>
      </c>
      <c r="S40" s="273" t="str">
        <f>IF(B40="","",VLOOKUP(B40,PARAMETROS!$A$2:$F$806,3,FALSE))</f>
        <v>250 mL</v>
      </c>
      <c r="T40" s="274"/>
      <c r="U40" s="275"/>
      <c r="V40" s="148" t="str">
        <f>IF(B40="","",VLOOKUP(B40,PARAMETROS!$A$2:$F$806,5,FALSE))</f>
        <v>.</v>
      </c>
      <c r="W40" s="149" t="str">
        <f>IF(B40="","",VLOOKUP(B40,PARAMETROS!$A$2:$F$806,4,FALSE))</f>
        <v>No Requiere</v>
      </c>
      <c r="X40" s="149"/>
      <c r="Y40" s="149"/>
      <c r="Z40" s="312">
        <f>IFERROR(IF(B40="","",VLOOKUP(B40,PARAMETROS!$A$2:$F$806,6,FALSE))*IF(P40&lt;=20,1,IF(P40&lt;=40,2,IF(P40&lt;=60,3,4))),"")</f>
        <v>3</v>
      </c>
      <c r="AA40" s="313"/>
      <c r="AB40" s="295" t="str">
        <f>IF(B40="","",VLOOKUP(B40,PARAMETROS!$A$2:$G$806,7,FALSE))</f>
        <v>Frascos adicionales</v>
      </c>
      <c r="AC40" s="296"/>
      <c r="AD40" s="297"/>
    </row>
    <row r="41" spans="1:30" s="66" customFormat="1" ht="18.75" customHeight="1" x14ac:dyDescent="0.35">
      <c r="A41" s="146">
        <f t="shared" si="2"/>
        <v>22</v>
      </c>
      <c r="B41" s="272" t="s">
        <v>267</v>
      </c>
      <c r="C41" s="272"/>
      <c r="D41" s="272"/>
      <c r="E41" s="272"/>
      <c r="F41" s="272"/>
      <c r="G41" s="272"/>
      <c r="H41" s="272"/>
      <c r="I41" s="272"/>
      <c r="J41" s="272"/>
      <c r="K41" s="272"/>
      <c r="L41" s="272"/>
      <c r="M41" s="272"/>
      <c r="N41" s="272"/>
      <c r="O41" s="272"/>
      <c r="P41" s="270">
        <v>3</v>
      </c>
      <c r="Q41" s="271"/>
      <c r="R41" s="147" t="str">
        <f>IF(B41="","",VLOOKUP(B41,PARAMETROS!$A$2:$F$806,2,FALSE))</f>
        <v>P</v>
      </c>
      <c r="S41" s="273" t="str">
        <f>IF(B41="","",VLOOKUP(B41,PARAMETROS!$A$2:$F$806,3,FALSE))</f>
        <v>500 mL</v>
      </c>
      <c r="T41" s="274"/>
      <c r="U41" s="275"/>
      <c r="V41" s="148" t="str">
        <f>IF(B41="","",VLOOKUP(B41,PARAMETROS!$A$2:$F$806,5,FALSE))</f>
        <v>.</v>
      </c>
      <c r="W41" s="149" t="str">
        <f>IF(B41="","",VLOOKUP(B41,PARAMETROS!$A$2:$F$806,4,FALSE))</f>
        <v>No requiere</v>
      </c>
      <c r="X41" s="149"/>
      <c r="Y41" s="149"/>
      <c r="Z41" s="312">
        <f>IFERROR(IF(B41="","",VLOOKUP(B41,PARAMETROS!$A$2:$F$806,6,FALSE))*IF(P41&lt;=20,1,IF(P41&lt;=40,2,IF(P41&lt;=60,3,4))),"")</f>
        <v>1</v>
      </c>
      <c r="AA41" s="313"/>
      <c r="AB41" s="295" t="str">
        <f>IF(B41="","",VLOOKUP(B41,PARAMETROS!$A$2:$G$806,7,FALSE))</f>
        <v>Frasco adicional</v>
      </c>
      <c r="AC41" s="296"/>
      <c r="AD41" s="297"/>
    </row>
    <row r="42" spans="1:30" s="66" customFormat="1" ht="18.75" customHeight="1" x14ac:dyDescent="0.35">
      <c r="A42" s="146">
        <f t="shared" si="2"/>
        <v>23</v>
      </c>
      <c r="B42" s="272" t="s">
        <v>308</v>
      </c>
      <c r="C42" s="272"/>
      <c r="D42" s="272"/>
      <c r="E42" s="272"/>
      <c r="F42" s="272"/>
      <c r="G42" s="272"/>
      <c r="H42" s="272"/>
      <c r="I42" s="272"/>
      <c r="J42" s="272"/>
      <c r="K42" s="272"/>
      <c r="L42" s="272"/>
      <c r="M42" s="272"/>
      <c r="N42" s="272"/>
      <c r="O42" s="272"/>
      <c r="P42" s="270">
        <v>3</v>
      </c>
      <c r="Q42" s="271"/>
      <c r="R42" s="147" t="str">
        <f>IF(B42="","",VLOOKUP(B42,PARAMETROS!$A$2:$F$806,2,FALSE))</f>
        <v>P</v>
      </c>
      <c r="S42" s="273" t="str">
        <f>IF(B42="","",VLOOKUP(B42,PARAMETROS!$A$2:$F$806,3,FALSE))</f>
        <v>500 mL</v>
      </c>
      <c r="T42" s="274"/>
      <c r="U42" s="275"/>
      <c r="V42" s="148" t="str">
        <f>IF(B42="","",VLOOKUP(B42,PARAMETROS!$A$2:$F$806,5,FALSE))</f>
        <v xml:space="preserve">7 (G*) </v>
      </c>
      <c r="W42" s="149" t="str">
        <f>IF(B42="","",VLOOKUP(B42,PARAMETROS!$A$2:$F$806,4,FALSE))</f>
        <v>NaOH 6N + Acetato de Zn</v>
      </c>
      <c r="X42" s="149"/>
      <c r="Y42" s="149"/>
      <c r="Z42" s="312" t="str">
        <f>IFERROR(IF(B42="","",VLOOKUP(B42,PARAMETROS!$A$2:$F$806,6,FALSE))*IF(P42&lt;=20,1,IF(P42&lt;=40,2,IF(P42&lt;=60,3,4))),"")</f>
        <v/>
      </c>
      <c r="AA42" s="313"/>
      <c r="AB42" s="295" t="str">
        <f>IF(B42="","",VLOOKUP(B42,PARAMETROS!$A$2:$G$806,7,FALSE))</f>
        <v>No requiere</v>
      </c>
      <c r="AC42" s="296"/>
      <c r="AD42" s="297"/>
    </row>
    <row r="43" spans="1:30" s="66" customFormat="1" ht="21.75" customHeight="1" x14ac:dyDescent="0.35">
      <c r="A43" s="146">
        <f t="shared" si="2"/>
        <v>24</v>
      </c>
      <c r="B43" s="272" t="s">
        <v>75</v>
      </c>
      <c r="C43" s="272"/>
      <c r="D43" s="272"/>
      <c r="E43" s="272"/>
      <c r="F43" s="272"/>
      <c r="G43" s="272"/>
      <c r="H43" s="272"/>
      <c r="I43" s="272"/>
      <c r="J43" s="272"/>
      <c r="K43" s="272"/>
      <c r="L43" s="272"/>
      <c r="M43" s="272"/>
      <c r="N43" s="272"/>
      <c r="O43" s="272"/>
      <c r="P43" s="270">
        <v>3</v>
      </c>
      <c r="Q43" s="271"/>
      <c r="R43" s="147" t="str">
        <f>IF(B43="","",VLOOKUP(B43,PARAMETROS!$A$2:$F$806,2,FALSE))</f>
        <v>V.A</v>
      </c>
      <c r="S43" s="273" t="str">
        <f>IF(B43="","",VLOOKUP(B43,PARAMETROS!$A$2:$F$806,3,FALSE))</f>
        <v>1 Lt</v>
      </c>
      <c r="T43" s="274"/>
      <c r="U43" s="275"/>
      <c r="V43" s="148" t="str">
        <f>IF(B43="","",VLOOKUP(B43,PARAMETROS!$A$2:$F$806,5,FALSE))</f>
        <v>.</v>
      </c>
      <c r="W43" s="149" t="str">
        <f>IF(B43="","",VLOOKUP(B43,PARAMETROS!$A$2:$F$806,4,FALSE))</f>
        <v>No requiere</v>
      </c>
      <c r="X43" s="149"/>
      <c r="Y43" s="149"/>
      <c r="Z43" s="312">
        <f>IFERROR(IF(B43="","",VLOOKUP(B43,PARAMETROS!$A$2:$F$806,6,FALSE))*IF(P43&lt;=20,1,IF(P43&lt;=40,2,IF(P43&lt;=60,3,4))),"")</f>
        <v>2</v>
      </c>
      <c r="AA43" s="313"/>
      <c r="AB43" s="295" t="str">
        <f>IF(B43="","",VLOOKUP(B43,PARAMETROS!$A$2:$G$806,7,FALSE))</f>
        <v>Frascos adicionales</v>
      </c>
      <c r="AC43" s="296"/>
      <c r="AD43" s="297"/>
    </row>
    <row r="44" spans="1:30" s="66" customFormat="1" ht="18.75" customHeight="1" x14ac:dyDescent="0.35">
      <c r="A44" s="146">
        <f t="shared" si="2"/>
        <v>25</v>
      </c>
      <c r="B44" s="272" t="s">
        <v>337</v>
      </c>
      <c r="C44" s="272"/>
      <c r="D44" s="272"/>
      <c r="E44" s="272"/>
      <c r="F44" s="272"/>
      <c r="G44" s="272"/>
      <c r="H44" s="272"/>
      <c r="I44" s="272"/>
      <c r="J44" s="272"/>
      <c r="K44" s="272"/>
      <c r="L44" s="272"/>
      <c r="M44" s="272"/>
      <c r="N44" s="272"/>
      <c r="O44" s="272"/>
      <c r="P44" s="270">
        <v>3</v>
      </c>
      <c r="Q44" s="271"/>
      <c r="R44" s="147" t="str">
        <f>IF(B44="","",VLOOKUP(B44,PARAMETROS!$A$2:$F$806,2,FALSE))</f>
        <v>P</v>
      </c>
      <c r="S44" s="273" t="str">
        <f>IF(B44="","",VLOOKUP(B44,PARAMETROS!$A$2:$F$806,3,FALSE))</f>
        <v>1 Lt</v>
      </c>
      <c r="T44" s="274"/>
      <c r="U44" s="275"/>
      <c r="V44" s="148" t="str">
        <f>IF(B44="","",VLOOKUP(B44,PARAMETROS!$A$2:$F$806,5,FALSE))</f>
        <v>.</v>
      </c>
      <c r="W44" s="149" t="str">
        <f>IF(B44="","",VLOOKUP(B44,PARAMETROS!$A$2:$F$806,4,FALSE))</f>
        <v>No requiere</v>
      </c>
      <c r="X44" s="149"/>
      <c r="Y44" s="149"/>
      <c r="Z44" s="312" t="str">
        <f>IFERROR(IF(B44="","",VLOOKUP(B44,PARAMETROS!$A$2:$F$806,6,FALSE))*IF(P44&lt;=20,1,IF(P44&lt;=40,2,IF(P44&lt;=60,3,4))),"")</f>
        <v/>
      </c>
      <c r="AA44" s="313"/>
      <c r="AB44" s="295" t="str">
        <f>IF(B44="","",VLOOKUP(B44,PARAMETROS!$A$2:$G$806,7,FALSE))</f>
        <v>No Requiere</v>
      </c>
      <c r="AC44" s="296"/>
      <c r="AD44" s="297"/>
    </row>
    <row r="45" spans="1:30" s="66" customFormat="1" ht="21.75" customHeight="1" x14ac:dyDescent="0.35">
      <c r="A45" s="146">
        <f t="shared" si="2"/>
        <v>26</v>
      </c>
      <c r="B45" s="272" t="s">
        <v>325</v>
      </c>
      <c r="C45" s="272"/>
      <c r="D45" s="272"/>
      <c r="E45" s="272"/>
      <c r="F45" s="272"/>
      <c r="G45" s="272"/>
      <c r="H45" s="272"/>
      <c r="I45" s="272"/>
      <c r="J45" s="272"/>
      <c r="K45" s="272"/>
      <c r="L45" s="272"/>
      <c r="M45" s="272"/>
      <c r="N45" s="272"/>
      <c r="O45" s="272"/>
      <c r="P45" s="270">
        <v>3</v>
      </c>
      <c r="Q45" s="271"/>
      <c r="R45" s="147" t="str">
        <f>IF(B45="","",VLOOKUP(B45,PARAMETROS!$A$2:$F$806,2,FALSE))</f>
        <v>P</v>
      </c>
      <c r="S45" s="273" t="str">
        <f>IF(B45="","",VLOOKUP(B45,PARAMETROS!$A$2:$F$806,3,FALSE))</f>
        <v>1 Lt</v>
      </c>
      <c r="T45" s="274"/>
      <c r="U45" s="275"/>
      <c r="V45" s="148" t="str">
        <f>IF(B45="","",VLOOKUP(B45,PARAMETROS!$A$2:$F$806,5,FALSE))</f>
        <v>.</v>
      </c>
      <c r="W45" s="149" t="str">
        <f>IF(B45="","",VLOOKUP(B45,PARAMETROS!$A$2:$F$806,4,FALSE))</f>
        <v>No Requiere</v>
      </c>
      <c r="X45" s="149"/>
      <c r="Y45" s="149"/>
      <c r="Z45" s="312" t="str">
        <f>IFERROR(IF(B45="","",VLOOKUP(B45,PARAMETROS!$A$2:$F$806,6,FALSE))*IF(P45&lt;=20,1,IF(P45&lt;=40,2,IF(P45&lt;=60,3,4))),"")</f>
        <v/>
      </c>
      <c r="AA45" s="313"/>
      <c r="AB45" s="295" t="str">
        <f>IF(B45="","",VLOOKUP(B45,PARAMETROS!$A$2:$G$806,7,FALSE))</f>
        <v>No Requiere</v>
      </c>
      <c r="AC45" s="296"/>
      <c r="AD45" s="297"/>
    </row>
    <row r="46" spans="1:30" s="66" customFormat="1" ht="21.75" customHeight="1" x14ac:dyDescent="0.35">
      <c r="A46" s="146">
        <f t="shared" si="2"/>
        <v>27</v>
      </c>
      <c r="B46" s="272" t="s">
        <v>131</v>
      </c>
      <c r="C46" s="272"/>
      <c r="D46" s="272"/>
      <c r="E46" s="272"/>
      <c r="F46" s="272"/>
      <c r="G46" s="272"/>
      <c r="H46" s="272"/>
      <c r="I46" s="272"/>
      <c r="J46" s="272"/>
      <c r="K46" s="272"/>
      <c r="L46" s="272"/>
      <c r="M46" s="272"/>
      <c r="N46" s="272"/>
      <c r="O46" s="272"/>
      <c r="P46" s="270">
        <v>3</v>
      </c>
      <c r="Q46" s="271"/>
      <c r="R46" s="147" t="str">
        <f>IF(B46="","",VLOOKUP(B46,PARAMETROS!$A$2:$F$806,2,FALSE))</f>
        <v>V.A</v>
      </c>
      <c r="S46" s="273" t="str">
        <f>IF(B46="","",VLOOKUP(B46,PARAMETROS!$A$2:$F$806,3,FALSE))</f>
        <v>1 Lt</v>
      </c>
      <c r="T46" s="274"/>
      <c r="U46" s="275"/>
      <c r="V46" s="148" t="str">
        <f>IF(B46="","",VLOOKUP(B46,PARAMETROS!$A$2:$F$806,5,FALSE))</f>
        <v xml:space="preserve">100 (G*) </v>
      </c>
      <c r="W46" s="149" t="str">
        <f>IF(B46="","",VLOOKUP(B46,PARAMETROS!$A$2:$F$806,4,FALSE))</f>
        <v>H2SO4 1:1</v>
      </c>
      <c r="X46" s="149"/>
      <c r="Y46" s="149"/>
      <c r="Z46" s="312">
        <f>IFERROR(IF(B46="","",VLOOKUP(B46,PARAMETROS!$A$2:$F$806,6,FALSE))*IF(P46&lt;=20,1,IF(P46&lt;=40,2,IF(P46&lt;=60,3,4))),"")</f>
        <v>2</v>
      </c>
      <c r="AA46" s="313"/>
      <c r="AB46" s="295" t="str">
        <f>IF(B46="","",VLOOKUP(B46,PARAMETROS!$A$2:$G$806,7,FALSE))</f>
        <v>Frascos adicionales</v>
      </c>
      <c r="AC46" s="296"/>
      <c r="AD46" s="297"/>
    </row>
    <row r="47" spans="1:30" s="66" customFormat="1" ht="18.75" customHeight="1" x14ac:dyDescent="0.35">
      <c r="A47" s="146">
        <f t="shared" si="2"/>
        <v>28</v>
      </c>
      <c r="B47" s="272" t="s">
        <v>375</v>
      </c>
      <c r="C47" s="272"/>
      <c r="D47" s="272"/>
      <c r="E47" s="272"/>
      <c r="F47" s="272"/>
      <c r="G47" s="272"/>
      <c r="H47" s="272"/>
      <c r="I47" s="272"/>
      <c r="J47" s="272"/>
      <c r="K47" s="272"/>
      <c r="L47" s="272"/>
      <c r="M47" s="272"/>
      <c r="N47" s="272"/>
      <c r="O47" s="272"/>
      <c r="P47" s="270">
        <v>3</v>
      </c>
      <c r="Q47" s="271"/>
      <c r="R47" s="147" t="str">
        <f>IF(B47="","",VLOOKUP(B47,PARAMETROS!$A$2:$F$806,2,FALSE))</f>
        <v>P</v>
      </c>
      <c r="S47" s="273" t="str">
        <f>IF(B47="","",VLOOKUP(B47,PARAMETROS!$A$2:$F$806,3,FALSE))</f>
        <v>1 Lt</v>
      </c>
      <c r="T47" s="274"/>
      <c r="U47" s="275"/>
      <c r="V47" s="148" t="str">
        <f>IF(B47="","",VLOOKUP(B47,PARAMETROS!$A$2:$F$806,5,FALSE))</f>
        <v>.</v>
      </c>
      <c r="W47" s="149" t="str">
        <f>IF(B47="","",VLOOKUP(B47,PARAMETROS!$A$2:$F$806,4,FALSE))</f>
        <v>No requiere</v>
      </c>
      <c r="X47" s="149"/>
      <c r="Y47" s="149"/>
      <c r="Z47" s="432" t="str">
        <f>IFERROR(IF(B47="","",VLOOKUP(B47,PARAMETROS!$A$2:$F$806,6,FALSE))*IF(P47&lt;=20,1,IF(P47&lt;=40,2,IF(P47&lt;=60,3,4))),"")</f>
        <v/>
      </c>
      <c r="AA47" s="433"/>
      <c r="AB47" s="314" t="str">
        <f>IF(B47="","",VLOOKUP(B47,PARAMETROS!$A$2:$G$806,7,FALSE))</f>
        <v>No Requiere</v>
      </c>
      <c r="AC47" s="315"/>
      <c r="AD47" s="316"/>
    </row>
    <row r="48" spans="1:30" s="66" customFormat="1" ht="16.5" customHeight="1" x14ac:dyDescent="0.35">
      <c r="A48" s="307" t="s">
        <v>9</v>
      </c>
      <c r="B48" s="308"/>
      <c r="C48" s="308"/>
      <c r="D48" s="308"/>
      <c r="E48" s="308"/>
      <c r="F48" s="308"/>
      <c r="G48" s="308"/>
      <c r="H48" s="308"/>
      <c r="I48" s="308"/>
      <c r="J48" s="308"/>
      <c r="K48" s="308"/>
      <c r="L48" s="308"/>
      <c r="M48" s="308"/>
      <c r="N48" s="308"/>
      <c r="O48" s="308"/>
      <c r="P48" s="308"/>
      <c r="Q48" s="308"/>
      <c r="R48" s="308"/>
      <c r="S48" s="308"/>
      <c r="T48" s="308"/>
      <c r="U48" s="308"/>
      <c r="V48" s="308"/>
      <c r="W48" s="308"/>
      <c r="X48" s="308"/>
      <c r="Y48" s="308"/>
      <c r="Z48" s="309"/>
      <c r="AA48" s="310"/>
      <c r="AB48" s="310"/>
      <c r="AC48" s="310"/>
      <c r="AD48" s="311"/>
    </row>
    <row r="49" spans="1:32" s="60" customFormat="1" ht="15" customHeight="1" x14ac:dyDescent="0.35">
      <c r="A49" s="317" t="s">
        <v>389</v>
      </c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317"/>
      <c r="S49" s="317"/>
      <c r="T49" s="317"/>
      <c r="U49" s="317"/>
      <c r="V49" s="317"/>
      <c r="W49" s="317"/>
      <c r="X49" s="317"/>
      <c r="Y49" s="317"/>
      <c r="Z49" s="317"/>
      <c r="AA49" s="317"/>
      <c r="AB49" s="317"/>
      <c r="AC49" s="317"/>
      <c r="AD49" s="318"/>
    </row>
    <row r="50" spans="1:32" s="60" customFormat="1" ht="79.5" customHeight="1" x14ac:dyDescent="0.35">
      <c r="A50" s="319"/>
      <c r="B50" s="319"/>
      <c r="C50" s="319"/>
      <c r="D50" s="319"/>
      <c r="E50" s="319"/>
      <c r="F50" s="319"/>
      <c r="G50" s="319"/>
      <c r="H50" s="319"/>
      <c r="I50" s="319"/>
      <c r="J50" s="319"/>
      <c r="K50" s="319"/>
      <c r="L50" s="319"/>
      <c r="M50" s="319"/>
      <c r="N50" s="319"/>
      <c r="O50" s="319"/>
      <c r="P50" s="319"/>
      <c r="Q50" s="319"/>
      <c r="R50" s="319"/>
      <c r="S50" s="319"/>
      <c r="T50" s="319"/>
      <c r="U50" s="319"/>
      <c r="V50" s="319"/>
      <c r="W50" s="319"/>
      <c r="X50" s="319"/>
      <c r="Y50" s="319"/>
      <c r="Z50" s="319"/>
      <c r="AA50" s="319"/>
      <c r="AB50" s="319"/>
      <c r="AC50" s="319"/>
      <c r="AD50" s="320"/>
    </row>
    <row r="51" spans="1:32" s="60" customFormat="1" ht="14.5" customHeight="1" x14ac:dyDescent="0.35">
      <c r="A51" s="321"/>
      <c r="B51" s="321"/>
      <c r="C51" s="321"/>
      <c r="D51" s="321"/>
      <c r="E51" s="321"/>
      <c r="F51" s="321"/>
      <c r="G51" s="321"/>
      <c r="H51" s="321"/>
      <c r="I51" s="321"/>
      <c r="J51" s="321"/>
      <c r="K51" s="321"/>
      <c r="L51" s="321"/>
      <c r="M51" s="321"/>
      <c r="N51" s="321"/>
      <c r="O51" s="321"/>
      <c r="P51" s="321"/>
      <c r="Q51" s="321"/>
      <c r="R51" s="321"/>
      <c r="S51" s="321"/>
      <c r="T51" s="321"/>
      <c r="U51" s="321"/>
      <c r="V51" s="321"/>
      <c r="W51" s="321"/>
      <c r="X51" s="321"/>
      <c r="Y51" s="321"/>
      <c r="Z51" s="321"/>
      <c r="AA51" s="321"/>
      <c r="AB51" s="321"/>
      <c r="AC51" s="321"/>
      <c r="AD51" s="322"/>
    </row>
    <row r="52" spans="1:32" s="60" customFormat="1" ht="17.25" customHeight="1" x14ac:dyDescent="0.35">
      <c r="A52" s="326" t="s">
        <v>262</v>
      </c>
      <c r="B52" s="327"/>
      <c r="C52" s="327"/>
      <c r="D52" s="327"/>
      <c r="E52" s="327"/>
      <c r="F52" s="327"/>
      <c r="G52" s="327"/>
      <c r="H52" s="327"/>
      <c r="I52" s="327"/>
      <c r="J52" s="327"/>
      <c r="K52" s="327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7"/>
      <c r="AC52" s="327"/>
      <c r="AD52" s="328"/>
    </row>
    <row r="53" spans="1:32" ht="2.25" customHeight="1" x14ac:dyDescent="0.35">
      <c r="A53" s="68"/>
      <c r="B53" s="69"/>
      <c r="C53" s="69"/>
      <c r="D53" s="69"/>
      <c r="E53" s="69"/>
      <c r="F53" s="70"/>
      <c r="G53" s="70"/>
      <c r="H53" s="7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</row>
    <row r="54" spans="1:32" s="55" customFormat="1" ht="34.5" customHeight="1" x14ac:dyDescent="0.35">
      <c r="A54" s="282" t="s">
        <v>226</v>
      </c>
      <c r="B54" s="283"/>
      <c r="C54" s="283"/>
      <c r="D54" s="283"/>
      <c r="E54" s="283"/>
      <c r="F54" s="283"/>
      <c r="G54" s="283"/>
      <c r="H54" s="283"/>
      <c r="I54" s="284"/>
      <c r="J54" s="25"/>
      <c r="K54" s="282" t="s">
        <v>167</v>
      </c>
      <c r="L54" s="283"/>
      <c r="M54" s="283"/>
      <c r="N54" s="283"/>
      <c r="O54" s="283"/>
      <c r="P54" s="283"/>
      <c r="Q54" s="283"/>
      <c r="R54" s="284"/>
      <c r="S54" s="71"/>
      <c r="T54" s="323" t="s">
        <v>233</v>
      </c>
      <c r="U54" s="324"/>
      <c r="V54" s="324"/>
      <c r="W54" s="324"/>
      <c r="X54" s="324"/>
      <c r="Y54" s="325"/>
      <c r="Z54" s="25"/>
      <c r="AA54" s="282" t="s">
        <v>231</v>
      </c>
      <c r="AB54" s="283"/>
      <c r="AC54" s="283"/>
      <c r="AD54" s="284"/>
    </row>
    <row r="55" spans="1:32" s="30" customFormat="1" ht="18" customHeight="1" x14ac:dyDescent="0.35">
      <c r="A55" s="150" t="s">
        <v>234</v>
      </c>
      <c r="B55" s="44"/>
      <c r="C55" s="44"/>
      <c r="D55" s="302" t="s">
        <v>239</v>
      </c>
      <c r="E55" s="304"/>
      <c r="F55" s="298" t="s">
        <v>61</v>
      </c>
      <c r="G55" s="299"/>
      <c r="H55" s="300" t="s">
        <v>60</v>
      </c>
      <c r="I55" s="301"/>
      <c r="J55" s="54"/>
      <c r="K55" s="302" t="s">
        <v>2</v>
      </c>
      <c r="L55" s="303"/>
      <c r="M55" s="303"/>
      <c r="N55" s="303"/>
      <c r="O55" s="303"/>
      <c r="P55" s="304"/>
      <c r="Q55" s="305" t="s">
        <v>69</v>
      </c>
      <c r="R55" s="306"/>
      <c r="S55" s="55"/>
      <c r="T55" s="162" t="s">
        <v>234</v>
      </c>
      <c r="U55" s="51"/>
      <c r="V55" s="52"/>
      <c r="W55" s="53" t="s">
        <v>239</v>
      </c>
      <c r="X55" s="72" t="s">
        <v>240</v>
      </c>
      <c r="Y55" s="163" t="s">
        <v>60</v>
      </c>
      <c r="Z55" s="55"/>
      <c r="AA55" s="150" t="s">
        <v>234</v>
      </c>
      <c r="AB55" s="56"/>
      <c r="AC55" s="302" t="s">
        <v>69</v>
      </c>
      <c r="AD55" s="304"/>
    </row>
    <row r="56" spans="1:32" s="30" customFormat="1" ht="18" customHeight="1" x14ac:dyDescent="0.35">
      <c r="A56" s="151" t="s">
        <v>227</v>
      </c>
      <c r="B56" s="100"/>
      <c r="C56" s="100"/>
      <c r="D56" s="377" t="s">
        <v>47</v>
      </c>
      <c r="E56" s="378"/>
      <c r="F56" s="276">
        <f>SUMIFS($P$17:$P$47,$R$17:$R$47,"P",$S$17:$S$47,"1 Lt")</f>
        <v>27</v>
      </c>
      <c r="G56" s="277"/>
      <c r="H56" s="370">
        <f>SUMIFS(Z17:Z47,R17:R47,"P",S17:S47,"1 Lt")+F56+COUNTIFS(R77:R81,"P",V77:V81,"1 Lt")</f>
        <v>31</v>
      </c>
      <c r="I56" s="371"/>
      <c r="J56" s="25"/>
      <c r="K56" s="154" t="s">
        <v>219</v>
      </c>
      <c r="L56" s="23"/>
      <c r="M56" s="23"/>
      <c r="N56" s="23"/>
      <c r="O56" s="23"/>
      <c r="P56" s="23"/>
      <c r="Q56" s="107" t="str">
        <f>IFERROR(VLOOKUP("HNO3 1:1",W17:W47,1,FALSE),"")</f>
        <v>HNO3 1:1</v>
      </c>
      <c r="R56" s="155"/>
      <c r="T56" s="164" t="s">
        <v>241</v>
      </c>
      <c r="U56" s="31"/>
      <c r="V56" s="32"/>
      <c r="W56" s="33" t="s">
        <v>242</v>
      </c>
      <c r="X56" s="101">
        <f>COUNTIFS($R$17:$R$47,"P.A",$S$17:$S$47,"120 mL")</f>
        <v>0</v>
      </c>
      <c r="Y56" s="165">
        <f>IFERROR(IF(P17="0","-",$P$17*X56),"")</f>
        <v>0</v>
      </c>
      <c r="Z56" s="28"/>
      <c r="AA56" s="180" t="s">
        <v>249</v>
      </c>
      <c r="AB56" s="26"/>
      <c r="AC56" s="423" t="s">
        <v>302</v>
      </c>
      <c r="AD56" s="424"/>
    </row>
    <row r="57" spans="1:32" s="73" customFormat="1" ht="18" customHeight="1" x14ac:dyDescent="0.35">
      <c r="A57" s="152" t="s">
        <v>227</v>
      </c>
      <c r="B57" s="114"/>
      <c r="C57" s="114"/>
      <c r="D57" s="379" t="s">
        <v>56</v>
      </c>
      <c r="E57" s="380"/>
      <c r="F57" s="344">
        <f>SUMIFS($P$17:$P$47,$R$17:$R$47,"P",$S$17:$S$47,"500 mL")</f>
        <v>21</v>
      </c>
      <c r="G57" s="345"/>
      <c r="H57" s="346">
        <f>SUMIFS(Z17:Z47,R17:R47,"P",S17:S47,"500 mL")+F57+COUNTIFS(R77:R81,"P",V77:V81,"500 mL")</f>
        <v>24</v>
      </c>
      <c r="I57" s="347"/>
      <c r="J57" s="25"/>
      <c r="K57" s="156" t="s">
        <v>220</v>
      </c>
      <c r="L57" s="21"/>
      <c r="M57" s="21"/>
      <c r="N57" s="21"/>
      <c r="O57" s="21"/>
      <c r="P57" s="22"/>
      <c r="Q57" s="225" t="str">
        <f>IFERROR(VLOOKUP("H2SO4 1:1",W17:W47,1,FALSE),"")</f>
        <v>H2SO4 1:1</v>
      </c>
      <c r="R57" s="157"/>
      <c r="S57" s="30"/>
      <c r="T57" s="166" t="s">
        <v>247</v>
      </c>
      <c r="U57" s="34"/>
      <c r="V57" s="35"/>
      <c r="W57" s="36" t="s">
        <v>190</v>
      </c>
      <c r="X57" s="102">
        <f>COUNTIFS($R$17:$R$47,"F",$S$17:$S$47,"PM-10-H")</f>
        <v>0</v>
      </c>
      <c r="Y57" s="167">
        <f>IFERROR(IF(P17="0","-",$P$17*X57),"")</f>
        <v>0</v>
      </c>
      <c r="Z57" s="28"/>
      <c r="AA57" s="181" t="s">
        <v>6</v>
      </c>
      <c r="AB57" s="27"/>
      <c r="AC57" s="390" t="s">
        <v>302</v>
      </c>
      <c r="AD57" s="391"/>
    </row>
    <row r="58" spans="1:32" s="73" customFormat="1" ht="18" customHeight="1" x14ac:dyDescent="0.35">
      <c r="A58" s="153" t="s">
        <v>227</v>
      </c>
      <c r="B58" s="115"/>
      <c r="C58" s="115"/>
      <c r="D58" s="383" t="s">
        <v>225</v>
      </c>
      <c r="E58" s="384"/>
      <c r="F58" s="344">
        <f>SUMIFS($P$17:$P$47,$R$17:$R$47,"P",$S$17:$S$47,"250 mL")</f>
        <v>3</v>
      </c>
      <c r="G58" s="345"/>
      <c r="H58" s="346">
        <f>SUMIFS(Z17:Z47,R17:R47,"P",S17:S47,"250 mL")+F58+COUNTIFS(R77:R81,"P",V77:V81,"250 mL")</f>
        <v>6</v>
      </c>
      <c r="I58" s="347"/>
      <c r="J58" s="25"/>
      <c r="K58" s="24" t="s">
        <v>221</v>
      </c>
      <c r="L58" s="24"/>
      <c r="M58" s="24"/>
      <c r="N58" s="24"/>
      <c r="O58" s="156"/>
      <c r="P58" s="22"/>
      <c r="Q58" s="225" t="str">
        <f>IFERROR(VLOOKUP("NaOH 1:1",W17:W47,1,FALSE),"")</f>
        <v/>
      </c>
      <c r="R58" s="157"/>
      <c r="T58" s="166" t="s">
        <v>248</v>
      </c>
      <c r="U58" s="34"/>
      <c r="V58" s="35"/>
      <c r="W58" s="36" t="s">
        <v>190</v>
      </c>
      <c r="X58" s="102">
        <f>COUNTIFS($R$17:$R$47,"F",$S$17:$S$47,"PM-2.5-H")</f>
        <v>0</v>
      </c>
      <c r="Y58" s="167">
        <f>IFERROR(IF(P18="0","-",$P$17*X58),"")</f>
        <v>0</v>
      </c>
      <c r="Z58" s="28"/>
      <c r="AA58" s="181" t="s">
        <v>5</v>
      </c>
      <c r="AB58" s="27"/>
      <c r="AC58" s="390" t="s">
        <v>302</v>
      </c>
      <c r="AD58" s="391"/>
    </row>
    <row r="59" spans="1:32" s="73" customFormat="1" ht="18" customHeight="1" x14ac:dyDescent="0.35">
      <c r="A59" s="152" t="s">
        <v>227</v>
      </c>
      <c r="B59" s="114"/>
      <c r="C59" s="114"/>
      <c r="D59" s="379" t="s">
        <v>57</v>
      </c>
      <c r="E59" s="380"/>
      <c r="F59" s="344">
        <f>SUMIFS($P$17:$P$47,$R$17:$R$47,"P",$S$17:$S$47,"120 mL")</f>
        <v>3</v>
      </c>
      <c r="G59" s="345"/>
      <c r="H59" s="346">
        <f>SUMIFS(Z17:Z47,R17:R47,"P",S17:S47,"120 mL")+F59+COUNTIFS(R77:R81,"P",V77:V81,"120 mL")</f>
        <v>3</v>
      </c>
      <c r="I59" s="347"/>
      <c r="J59" s="25"/>
      <c r="K59" s="24" t="s">
        <v>222</v>
      </c>
      <c r="L59" s="24"/>
      <c r="M59" s="24"/>
      <c r="N59" s="24"/>
      <c r="O59" s="156"/>
      <c r="P59" s="22"/>
      <c r="Q59" s="226" t="str">
        <f>IFERROR(IF((VLOOKUP("NaOH 6N + Acetato de Zn",W17:W47,1,FALSE))="NaOH 6N + Acetato de Zn","NaOH 5N",""),"")</f>
        <v>NaOH 5N</v>
      </c>
      <c r="R59" s="157"/>
      <c r="T59" s="166" t="s">
        <v>245</v>
      </c>
      <c r="U59" s="34"/>
      <c r="V59" s="35"/>
      <c r="W59" s="36" t="s">
        <v>190</v>
      </c>
      <c r="X59" s="102">
        <f>COUNTIFS($R$17:$R$47,"F",$S$17:$S$47,"PM-10-L")</f>
        <v>0</v>
      </c>
      <c r="Y59" s="167">
        <f>IFERROR(IF(P19="0","-",$P$17*X59),"")</f>
        <v>0</v>
      </c>
      <c r="Z59" s="28"/>
      <c r="AA59" s="181" t="s">
        <v>17</v>
      </c>
      <c r="AB59" s="27"/>
      <c r="AC59" s="390" t="s">
        <v>302</v>
      </c>
      <c r="AD59" s="391"/>
    </row>
    <row r="60" spans="1:32" s="73" customFormat="1" ht="18" customHeight="1" x14ac:dyDescent="0.35">
      <c r="A60" s="153" t="s">
        <v>228</v>
      </c>
      <c r="B60" s="115"/>
      <c r="C60" s="115"/>
      <c r="D60" s="383" t="s">
        <v>47</v>
      </c>
      <c r="E60" s="384"/>
      <c r="F60" s="344">
        <f>SUMIFS($P$17:$P$47,$R$17:$R$47,"P.A",$S$17:$S$47,"1 Lt")</f>
        <v>3</v>
      </c>
      <c r="G60" s="345"/>
      <c r="H60" s="346">
        <f>SUMIFS(Z17:Z47,R17:R47,"P.A",S17:S47,"1 Lt")+F60+COUNTIFS(R77:R81,"P.A",V77:V81,"1 Lt")</f>
        <v>4</v>
      </c>
      <c r="I60" s="347"/>
      <c r="J60" s="25"/>
      <c r="K60" s="24" t="s">
        <v>93</v>
      </c>
      <c r="L60" s="24"/>
      <c r="M60" s="24"/>
      <c r="N60" s="24"/>
      <c r="O60" s="156"/>
      <c r="P60" s="22"/>
      <c r="Q60" s="198" t="str">
        <f>IFERROR(IF((VLOOKUP("NaOH 6N + Acetato de Zn",W17:W47,1,FALSE))="NaOH 6N + Acetato de Zn","NaOH 6N",""),"")</f>
        <v>NaOH 6N</v>
      </c>
      <c r="R60" s="157"/>
      <c r="T60" s="166" t="s">
        <v>246</v>
      </c>
      <c r="U60" s="34"/>
      <c r="V60" s="35"/>
      <c r="W60" s="36" t="s">
        <v>190</v>
      </c>
      <c r="X60" s="102">
        <f>COUNTIFS($R$17:$R$47,"F",$S$17:$S$47,"PM-2.5-L")</f>
        <v>0</v>
      </c>
      <c r="Y60" s="167">
        <f>IFERROR(IF(P20="0","-",$P$17*X60),"")</f>
        <v>0</v>
      </c>
      <c r="Z60" s="28"/>
      <c r="AA60" s="181" t="s">
        <v>22</v>
      </c>
      <c r="AB60" s="27"/>
      <c r="AC60" s="390"/>
      <c r="AD60" s="391"/>
    </row>
    <row r="61" spans="1:32" s="73" customFormat="1" ht="18" customHeight="1" x14ac:dyDescent="0.35">
      <c r="A61" s="153" t="s">
        <v>228</v>
      </c>
      <c r="B61" s="115"/>
      <c r="C61" s="115"/>
      <c r="D61" s="383" t="s">
        <v>50</v>
      </c>
      <c r="E61" s="384"/>
      <c r="F61" s="344">
        <f>SUMIFS($P$17:$P$47,$R$17:$R$47,"P.A",$S$17:$S$47,"500 mL")</f>
        <v>0</v>
      </c>
      <c r="G61" s="345"/>
      <c r="H61" s="346">
        <f>SUMIFS(Z17:Z47,R17:R47,"P.A",S17:S47,"500 mL")+F61+COUNTIFS(R77:R81,"P.A",V77:V81,"500 mL")</f>
        <v>0</v>
      </c>
      <c r="I61" s="347"/>
      <c r="J61" s="25"/>
      <c r="K61" s="24" t="s">
        <v>223</v>
      </c>
      <c r="L61" s="24"/>
      <c r="M61" s="24"/>
      <c r="N61" s="24"/>
      <c r="O61" s="156"/>
      <c r="P61" s="22"/>
      <c r="Q61" s="198" t="str">
        <f>IFERROR(IF(Q60="NaOH 6N","Acetato de Zn",""),"")</f>
        <v>Acetato de Zn</v>
      </c>
      <c r="R61" s="157"/>
      <c r="T61" s="166" t="s">
        <v>243</v>
      </c>
      <c r="U61" s="34"/>
      <c r="V61" s="35"/>
      <c r="W61" s="36" t="s">
        <v>190</v>
      </c>
      <c r="X61" s="102">
        <f>COUNTIFS($R$17:$R$47,"-",$S$17:$S$47,"Sobre")</f>
        <v>0</v>
      </c>
      <c r="Y61" s="167" t="str">
        <f>IFERROR(IF(#REF!="0","-",$P$17*X61),"")</f>
        <v/>
      </c>
      <c r="Z61" s="28"/>
      <c r="AA61" s="181" t="s">
        <v>20</v>
      </c>
      <c r="AB61" s="27"/>
      <c r="AC61" s="390"/>
      <c r="AD61" s="391"/>
    </row>
    <row r="62" spans="1:32" s="73" customFormat="1" ht="18" customHeight="1" x14ac:dyDescent="0.35">
      <c r="A62" s="153" t="s">
        <v>263</v>
      </c>
      <c r="B62" s="115"/>
      <c r="C62" s="115"/>
      <c r="D62" s="383" t="s">
        <v>56</v>
      </c>
      <c r="E62" s="384"/>
      <c r="F62" s="344">
        <f>SUMIFS($P$17:$P$47,$R$17:$R$47,"V.E",$S$17:$S$47,"500 mL")</f>
        <v>0</v>
      </c>
      <c r="G62" s="345"/>
      <c r="H62" s="346">
        <f>SUMIFS(Z17:Z47,R17:R47,"V.E",S17:S47,"500 mL")+F62+COUNTIFS(R77:R81,"V.E",V77:V81,"500 mL")</f>
        <v>0</v>
      </c>
      <c r="I62" s="347"/>
      <c r="J62" s="25"/>
      <c r="K62" s="156" t="s">
        <v>367</v>
      </c>
      <c r="L62" s="21"/>
      <c r="M62" s="21"/>
      <c r="N62" s="21"/>
      <c r="O62" s="21"/>
      <c r="P62" s="22"/>
      <c r="Q62" s="261" t="str">
        <f>IFERROR(IF(Q59="NaOH 5N","Buffer-Cr VI",""),"")</f>
        <v>Buffer-Cr VI</v>
      </c>
      <c r="R62" s="157"/>
      <c r="T62" s="166" t="s">
        <v>244</v>
      </c>
      <c r="U62" s="34"/>
      <c r="V62" s="34"/>
      <c r="W62" s="36" t="s">
        <v>190</v>
      </c>
      <c r="X62" s="102">
        <f>COUNTIFS($R$17:$R$47,"-",$S$17:$S$47,"Casette")</f>
        <v>0</v>
      </c>
      <c r="Y62" s="167">
        <f>IFERROR(IF(P21="0","-",$P$17*X62),"")</f>
        <v>0</v>
      </c>
      <c r="Z62" s="28"/>
      <c r="AA62" s="181" t="s">
        <v>21</v>
      </c>
      <c r="AB62" s="27"/>
      <c r="AC62" s="390"/>
      <c r="AD62" s="391"/>
    </row>
    <row r="63" spans="1:32" s="73" customFormat="1" ht="18" customHeight="1" x14ac:dyDescent="0.35">
      <c r="A63" s="153" t="s">
        <v>263</v>
      </c>
      <c r="B63" s="115"/>
      <c r="C63" s="115"/>
      <c r="D63" s="383" t="s">
        <v>225</v>
      </c>
      <c r="E63" s="384"/>
      <c r="F63" s="344">
        <f>SUMIFS($P$17:$P$47,$R$17:$R$47,"V.E",$S$17:$S$47,"250 mL")</f>
        <v>0</v>
      </c>
      <c r="G63" s="345"/>
      <c r="H63" s="346">
        <f>SUMIFS(Z17:Z47,R17:R47,"V.E",S17:S47,"250 mL")+F63+COUNTIFS(R77:R81,"V.E",V77:V81,"250 mL")</f>
        <v>0</v>
      </c>
      <c r="I63" s="347"/>
      <c r="J63" s="25"/>
      <c r="K63" s="158" t="s">
        <v>258</v>
      </c>
      <c r="L63" s="21"/>
      <c r="M63" s="21"/>
      <c r="N63" s="21"/>
      <c r="O63" s="21"/>
      <c r="P63" s="22"/>
      <c r="Q63" s="260" t="str">
        <f>IFERROR(VLOOKUP("LUGOL",W17:W47,1,FALSE),"")</f>
        <v>LUGOL</v>
      </c>
      <c r="R63" s="157"/>
      <c r="T63" s="168"/>
      <c r="U63" s="169"/>
      <c r="V63" s="170"/>
      <c r="W63" s="171"/>
      <c r="X63" s="172">
        <f>COUNTIFS($R$17:$R$47,"F",$S$17:$S$47,"PM-2.5-L")</f>
        <v>0</v>
      </c>
      <c r="Y63" s="173" t="str">
        <f>IFERROR(IF(#REF!="0","-",$P$17*X63),"")</f>
        <v/>
      </c>
      <c r="Z63" s="28"/>
      <c r="AA63" s="180" t="s">
        <v>3</v>
      </c>
      <c r="AB63" s="26"/>
      <c r="AC63" s="390"/>
      <c r="AD63" s="391"/>
    </row>
    <row r="64" spans="1:32" s="73" customFormat="1" ht="18" customHeight="1" x14ac:dyDescent="0.35">
      <c r="A64" s="152" t="s">
        <v>229</v>
      </c>
      <c r="B64" s="114"/>
      <c r="C64" s="114"/>
      <c r="D64" s="379" t="s">
        <v>47</v>
      </c>
      <c r="E64" s="380"/>
      <c r="F64" s="344">
        <f>SUMIFS($P$17:$P$47,$R$17:$R$47,"V.A",$S$17:$S$47,"1 Lt")</f>
        <v>9</v>
      </c>
      <c r="G64" s="345"/>
      <c r="H64" s="346">
        <f>SUMIFS(Z17:Z47,R17:R47,"V.A",S17:S47,"1 Lt")+F64+COUNTIFS(R77:R81,"V.A",V77:V81,"1 Lt")</f>
        <v>16</v>
      </c>
      <c r="I64" s="347"/>
      <c r="J64" s="25"/>
      <c r="K64" s="158" t="s">
        <v>259</v>
      </c>
      <c r="L64" s="21"/>
      <c r="M64" s="21"/>
      <c r="N64" s="21"/>
      <c r="O64" s="21"/>
      <c r="P64" s="22"/>
      <c r="Q64" s="194" t="str">
        <f>IFERROR(VLOOKUP("TIO",W17:W47,1,FALSE),"")</f>
        <v>TIO</v>
      </c>
      <c r="R64" s="195"/>
      <c r="T64" s="323" t="s">
        <v>232</v>
      </c>
      <c r="U64" s="324"/>
      <c r="V64" s="324"/>
      <c r="W64" s="324"/>
      <c r="X64" s="324"/>
      <c r="Y64" s="325"/>
      <c r="Z64" s="28"/>
      <c r="AA64" s="181" t="s">
        <v>4</v>
      </c>
      <c r="AB64" s="27"/>
      <c r="AC64" s="390"/>
      <c r="AD64" s="391"/>
      <c r="AE64" s="29"/>
      <c r="AF64" s="29"/>
    </row>
    <row r="65" spans="1:32" s="73" customFormat="1" ht="18" customHeight="1" x14ac:dyDescent="0.35">
      <c r="A65" s="152" t="s">
        <v>229</v>
      </c>
      <c r="B65" s="114"/>
      <c r="C65" s="114"/>
      <c r="D65" s="379" t="s">
        <v>56</v>
      </c>
      <c r="E65" s="380"/>
      <c r="F65" s="344">
        <f>SUMIFS($P$17:$P$47,$R$17:$R$47,"V.A",$S$17:$S$47,"500 mL")</f>
        <v>0</v>
      </c>
      <c r="G65" s="345"/>
      <c r="H65" s="346">
        <f>SUMIFS(Z17:Z47,R17:R47,"V.A",S17:S47,"500 mL")+F65+COUNTIFS(R77:R81,"V.A",V77:V81,"500 mL")</f>
        <v>0</v>
      </c>
      <c r="I65" s="347"/>
      <c r="J65" s="25"/>
      <c r="K65" s="159"/>
      <c r="L65" s="49"/>
      <c r="M65" s="49"/>
      <c r="N65" s="49"/>
      <c r="O65" s="49"/>
      <c r="P65" s="50"/>
      <c r="Q65" s="196"/>
      <c r="R65" s="197"/>
      <c r="T65" s="174" t="s">
        <v>16</v>
      </c>
      <c r="U65" s="51"/>
      <c r="V65" s="52"/>
      <c r="W65" s="53" t="s">
        <v>239</v>
      </c>
      <c r="X65" s="72" t="s">
        <v>240</v>
      </c>
      <c r="Y65" s="163" t="s">
        <v>60</v>
      </c>
      <c r="Z65" s="28"/>
      <c r="AA65" s="181" t="s">
        <v>18</v>
      </c>
      <c r="AB65" s="27"/>
      <c r="AC65" s="390"/>
      <c r="AD65" s="391"/>
      <c r="AE65" s="236"/>
      <c r="AF65" s="236"/>
    </row>
    <row r="66" spans="1:32" s="73" customFormat="1" ht="18" customHeight="1" x14ac:dyDescent="0.35">
      <c r="A66" s="408" t="s">
        <v>230</v>
      </c>
      <c r="B66" s="409"/>
      <c r="C66" s="410"/>
      <c r="D66" s="381" t="s">
        <v>47</v>
      </c>
      <c r="E66" s="382"/>
      <c r="F66" s="344">
        <f>SUMIFS($P$17:$P$47,$R$17:$R$47,"P.E",$S$17:$S$47,"1 Lt")</f>
        <v>3</v>
      </c>
      <c r="G66" s="345"/>
      <c r="H66" s="346">
        <f>SUMIFS(Z17:Z47,R17:R47,"P.E",S17:S47,"1 Lt")+F66+COUNTIFS(R77:R81,"P.E",V77:V81,"1 Lt")</f>
        <v>3</v>
      </c>
      <c r="I66" s="347"/>
      <c r="J66" s="25"/>
      <c r="K66" s="160"/>
      <c r="L66" s="108"/>
      <c r="M66" s="108"/>
      <c r="N66" s="108"/>
      <c r="O66" s="108"/>
      <c r="P66" s="109"/>
      <c r="Q66" s="110"/>
      <c r="R66" s="161"/>
      <c r="T66" s="164" t="s">
        <v>238</v>
      </c>
      <c r="U66" s="31"/>
      <c r="V66" s="32"/>
      <c r="W66" s="33" t="s">
        <v>235</v>
      </c>
      <c r="X66" s="145">
        <f>COUNTIFS($R$17:$R$47,"Vidrio Ámbar",$S$17:$S$47,"1 Kg")</f>
        <v>0</v>
      </c>
      <c r="Y66" s="165">
        <f>IFERROR(IF(P17="0","-",$P$17*X66),"")</f>
        <v>0</v>
      </c>
      <c r="Z66" s="74"/>
      <c r="AA66" s="182" t="s">
        <v>250</v>
      </c>
      <c r="AB66" s="27"/>
      <c r="AC66" s="390"/>
      <c r="AD66" s="391"/>
      <c r="AE66" s="29"/>
      <c r="AF66" s="29"/>
    </row>
    <row r="67" spans="1:32" s="73" customFormat="1" ht="18" customHeight="1" x14ac:dyDescent="0.35">
      <c r="A67" s="152" t="s">
        <v>230</v>
      </c>
      <c r="B67" s="114"/>
      <c r="C67" s="114"/>
      <c r="D67" s="379" t="s">
        <v>56</v>
      </c>
      <c r="E67" s="380"/>
      <c r="F67" s="344">
        <f>SUMIFS($P$17:$P$47,$R$17:$R$47,"P.E",$S$17:$S$47,"500 mL")</f>
        <v>15</v>
      </c>
      <c r="G67" s="345"/>
      <c r="H67" s="346">
        <f>SUMIFS(Z17:Z47,R17:R47,"P.E",S17:S47,"500 mL")+F67+COUNTIFS(R77:R81,"P.E",V77:V81,"500 mL")</f>
        <v>18</v>
      </c>
      <c r="I67" s="347"/>
      <c r="J67" s="25"/>
      <c r="K67" s="113"/>
      <c r="L67" s="111"/>
      <c r="M67" s="111"/>
      <c r="N67" s="111"/>
      <c r="O67" s="111"/>
      <c r="P67" s="112"/>
      <c r="Q67" s="110"/>
      <c r="R67" s="161"/>
      <c r="T67" s="166" t="s">
        <v>236</v>
      </c>
      <c r="U67" s="34"/>
      <c r="V67" s="35"/>
      <c r="W67" s="36" t="s">
        <v>235</v>
      </c>
      <c r="X67" s="102">
        <f>COUNTIFS($R$17:$R$47,"Pote",$S$17:$S$47,"1 Kg")</f>
        <v>0</v>
      </c>
      <c r="Y67" s="175">
        <f>IFERROR(IF(P17="0","-",$P$17*X67),"")</f>
        <v>0</v>
      </c>
      <c r="Z67" s="74"/>
      <c r="AA67" s="181" t="s">
        <v>19</v>
      </c>
      <c r="AB67" s="27"/>
      <c r="AC67" s="390"/>
      <c r="AD67" s="391"/>
      <c r="AE67" s="30"/>
      <c r="AF67" s="30"/>
    </row>
    <row r="68" spans="1:32" s="73" customFormat="1" ht="18" customHeight="1" x14ac:dyDescent="0.35">
      <c r="A68" s="231" t="s">
        <v>230</v>
      </c>
      <c r="B68" s="232"/>
      <c r="C68" s="232"/>
      <c r="D68" s="379" t="s">
        <v>57</v>
      </c>
      <c r="E68" s="380"/>
      <c r="F68" s="344">
        <f>SUMIFS($P$17:$P$47,$R$17:$R$47,"P.E",$S$17:$S$47,"120 mL")</f>
        <v>0</v>
      </c>
      <c r="G68" s="345"/>
      <c r="H68" s="346">
        <f>SUMIFS(Z17:Z47,R17:R47,"P.E",S17:S47,"120 mL")+F68+COUNTIFS(R77:R81,"P.E",V77:V81,"120 mL")</f>
        <v>0</v>
      </c>
      <c r="I68" s="347"/>
      <c r="J68" s="25"/>
      <c r="K68" s="113"/>
      <c r="L68" s="111"/>
      <c r="M68" s="111"/>
      <c r="N68" s="111"/>
      <c r="O68" s="111"/>
      <c r="P68" s="112"/>
      <c r="Q68" s="110"/>
      <c r="R68" s="161"/>
      <c r="T68" s="166" t="s">
        <v>237</v>
      </c>
      <c r="U68" s="34"/>
      <c r="V68" s="35"/>
      <c r="W68" s="36" t="s">
        <v>235</v>
      </c>
      <c r="X68" s="102">
        <f>COUNTIFS($R$17:$R$47,"Bolsa",$S$17:$S$47,"1 Kg")</f>
        <v>0</v>
      </c>
      <c r="Y68" s="175">
        <f>IFERROR(IF(P17="0","-",$P$17*X68),"")</f>
        <v>0</v>
      </c>
      <c r="Z68" s="74"/>
      <c r="AA68" s="181"/>
      <c r="AB68" s="27"/>
      <c r="AC68" s="390"/>
      <c r="AD68" s="391"/>
      <c r="AE68" s="30"/>
      <c r="AF68" s="30"/>
    </row>
    <row r="69" spans="1:32" s="73" customFormat="1" ht="18" customHeight="1" x14ac:dyDescent="0.35">
      <c r="A69" s="229" t="s">
        <v>369</v>
      </c>
      <c r="B69" s="230"/>
      <c r="C69" s="230"/>
      <c r="D69" s="404" t="s">
        <v>370</v>
      </c>
      <c r="E69" s="405"/>
      <c r="F69" s="425">
        <f>((SUMIFS($P$17:$P$47,$R$17:$R$47,"P",$S$17:$S$47,"10 Lt"))*2)+SUMIFS($P$17:$P$47,$R$17:$R$47,"P",$S$17:$S$47,"4 Lt")+SUMIFS($P$17:$P$47,$R$17:$R$47,"P",$S$17:$S$47,"5 Lt")+IF(VLOOKUP("ORGANISMOS DE VIDA LIBRE (O.V.L)",B17:AD47,25,FALSE)=5,2,IF(VLOOKUP("ORGANISMOS DE VIDA LIBRE (O.V.L)",B17:AD47,25,FALSE)=10,3,IF(VLOOKUP("ORGANISMOS DE VIDA LIBRE (O.V.L)",B17:AD47,25,FALSE)=15,4,5)))</f>
        <v>5</v>
      </c>
      <c r="G69" s="426"/>
      <c r="H69" s="421">
        <f>F69+(COUNTIF(S17:S47,"4 Lt")*IF(VLOOKUP("HUEVOS Y LARVAS HELMINTOS",B17:AD47,25,FALSE)=4,1,IF(VLOOKUP("HUEVOS Y LARVAS HELMINTOS",B17:AD47,25,FALSE)=8,2,IF(VLOOKUP("HUEVOS Y LARVAS HELMINTOS",B17:AD47,25,FALSE)=12,3,4))))+(COUNTIF(S17:S47,"10 Lt")*IF(VLOOKUP("HUEVOS Y LARVAS HELMINTOS",B17:AD47,25,FALSE)=10,1,IF(VLOOKUP("HUEVOS Y LARVAS HELMINTOS",B17:AD47,25,FALSE)=20,2,IF(VLOOKUP("HUEVOS Y LARVAS HELMINTOS",B17:AD47,25,FALSE)=30,3,4))))</f>
        <v>5</v>
      </c>
      <c r="I69" s="422"/>
      <c r="J69" s="25"/>
      <c r="K69" s="186"/>
      <c r="L69" s="187"/>
      <c r="M69" s="187"/>
      <c r="N69" s="187"/>
      <c r="O69" s="187"/>
      <c r="P69" s="188"/>
      <c r="Q69" s="186"/>
      <c r="R69" s="188"/>
      <c r="T69" s="176"/>
      <c r="U69" s="177"/>
      <c r="V69" s="178"/>
      <c r="W69" s="179"/>
      <c r="X69" s="233"/>
      <c r="Y69" s="234"/>
      <c r="Z69" s="74"/>
      <c r="AA69" s="235"/>
      <c r="AB69" s="183"/>
      <c r="AC69" s="399"/>
      <c r="AD69" s="400"/>
      <c r="AE69" s="30"/>
      <c r="AF69" s="30"/>
    </row>
    <row r="70" spans="1:32" s="73" customFormat="1" ht="4.5" customHeight="1" x14ac:dyDescent="0.35">
      <c r="A70" s="403"/>
      <c r="B70" s="403"/>
      <c r="C70" s="403"/>
      <c r="D70" s="403"/>
      <c r="E70" s="75"/>
      <c r="F70" s="336"/>
      <c r="G70" s="336"/>
      <c r="H70" s="281"/>
      <c r="I70" s="281"/>
      <c r="J70" s="281"/>
      <c r="K70" s="76"/>
      <c r="L70" s="76"/>
      <c r="M70" s="280"/>
      <c r="N70" s="280"/>
      <c r="O70" s="280"/>
      <c r="P70" s="280"/>
      <c r="Q70" s="280"/>
      <c r="R70" s="280"/>
      <c r="S70" s="77"/>
      <c r="T70" s="77"/>
      <c r="U70" s="77"/>
      <c r="V70" s="76"/>
      <c r="W70" s="279"/>
      <c r="X70" s="279"/>
      <c r="Y70" s="279"/>
      <c r="Z70" s="278"/>
      <c r="AA70" s="278"/>
      <c r="AB70" s="278"/>
      <c r="AC70" s="278"/>
      <c r="AD70" s="278"/>
    </row>
    <row r="71" spans="1:32" ht="20.149999999999999" customHeight="1" x14ac:dyDescent="0.35">
      <c r="A71" s="375" t="s">
        <v>253</v>
      </c>
      <c r="B71" s="375"/>
      <c r="C71" s="375"/>
      <c r="D71" s="375"/>
      <c r="E71" s="375"/>
      <c r="F71" s="375"/>
      <c r="G71" s="375"/>
      <c r="H71" s="375"/>
      <c r="I71" s="375"/>
      <c r="J71" s="375"/>
      <c r="K71" s="375"/>
      <c r="L71" s="375"/>
      <c r="M71" s="375"/>
      <c r="N71" s="375"/>
      <c r="O71" s="375"/>
      <c r="P71" s="375"/>
      <c r="Q71" s="375"/>
      <c r="R71" s="375"/>
      <c r="S71" s="375"/>
      <c r="T71" s="375"/>
      <c r="U71" s="375"/>
      <c r="V71" s="375"/>
      <c r="W71" s="375"/>
      <c r="X71" s="375"/>
      <c r="Y71" s="375"/>
      <c r="Z71" s="375"/>
      <c r="AA71" s="375"/>
      <c r="AB71" s="375"/>
      <c r="AC71" s="375"/>
      <c r="AD71" s="375"/>
    </row>
    <row r="72" spans="1:32" s="73" customFormat="1" ht="20.149999999999999" customHeight="1" x14ac:dyDescent="0.35">
      <c r="A72" s="37" t="s">
        <v>59</v>
      </c>
      <c r="B72" s="40"/>
      <c r="C72" s="103" t="s">
        <v>302</v>
      </c>
      <c r="D72" s="39" t="s">
        <v>58</v>
      </c>
      <c r="E72" s="38"/>
      <c r="F72" s="401" t="s">
        <v>302</v>
      </c>
      <c r="G72" s="402"/>
      <c r="H72" s="37" t="s">
        <v>251</v>
      </c>
      <c r="I72" s="39"/>
      <c r="J72" s="39"/>
      <c r="K72" s="39"/>
      <c r="L72" s="39"/>
      <c r="M72" s="38"/>
      <c r="N72" s="401" t="s">
        <v>302</v>
      </c>
      <c r="O72" s="402"/>
      <c r="P72" s="39" t="s">
        <v>22</v>
      </c>
      <c r="Q72" s="78"/>
      <c r="R72" s="104"/>
      <c r="S72" s="42" t="s">
        <v>254</v>
      </c>
      <c r="T72" s="41"/>
      <c r="U72" s="41"/>
      <c r="V72" s="41"/>
      <c r="W72" s="43"/>
      <c r="X72" s="104" t="s">
        <v>303</v>
      </c>
      <c r="Y72" s="42" t="s">
        <v>252</v>
      </c>
      <c r="Z72" s="39"/>
      <c r="AA72" s="39"/>
      <c r="AB72" s="38"/>
      <c r="AC72" s="401"/>
      <c r="AD72" s="402"/>
    </row>
    <row r="73" spans="1:32" s="60" customFormat="1" ht="18" customHeight="1" x14ac:dyDescent="0.35">
      <c r="A73" s="184" t="s">
        <v>255</v>
      </c>
      <c r="B73" s="185"/>
      <c r="C73" s="186"/>
      <c r="D73" s="187"/>
      <c r="E73" s="187"/>
      <c r="F73" s="187"/>
      <c r="G73" s="187"/>
      <c r="H73" s="187"/>
      <c r="I73" s="187"/>
      <c r="J73" s="187"/>
      <c r="K73" s="187"/>
      <c r="L73" s="187"/>
      <c r="M73" s="187"/>
      <c r="N73" s="187"/>
      <c r="O73" s="188"/>
      <c r="P73" s="189"/>
      <c r="Q73" s="190"/>
      <c r="R73" s="190"/>
      <c r="S73" s="190"/>
      <c r="T73" s="190"/>
      <c r="U73" s="190"/>
      <c r="V73" s="190"/>
      <c r="W73" s="191"/>
      <c r="X73" s="189"/>
      <c r="Y73" s="190"/>
      <c r="Z73" s="190"/>
      <c r="AA73" s="190"/>
      <c r="AB73" s="190"/>
      <c r="AC73" s="190"/>
      <c r="AD73" s="191"/>
    </row>
    <row r="74" spans="1:32" ht="4.5" customHeight="1" x14ac:dyDescent="0.35">
      <c r="A74" s="79"/>
      <c r="B74" s="79"/>
      <c r="C74" s="79"/>
      <c r="D74" s="79"/>
      <c r="E74" s="79"/>
      <c r="F74" s="80"/>
      <c r="G74" s="80"/>
      <c r="H74" s="80"/>
      <c r="I74" s="80"/>
      <c r="J74" s="80"/>
      <c r="K74" s="81"/>
      <c r="L74" s="81"/>
      <c r="M74" s="82"/>
      <c r="N74" s="82"/>
      <c r="O74" s="82"/>
      <c r="P74" s="82"/>
      <c r="Q74" s="82"/>
      <c r="R74" s="82"/>
      <c r="S74" s="82"/>
      <c r="T74" s="82"/>
      <c r="U74" s="82"/>
      <c r="V74" s="80"/>
      <c r="W74" s="60"/>
      <c r="X74" s="83"/>
      <c r="Y74" s="83"/>
      <c r="Z74" s="83"/>
      <c r="AA74" s="83"/>
      <c r="AB74" s="83"/>
      <c r="AC74" s="83"/>
      <c r="AD74" s="81"/>
    </row>
    <row r="75" spans="1:32" ht="20.149999999999999" customHeight="1" x14ac:dyDescent="0.35">
      <c r="A75" s="375" t="s">
        <v>351</v>
      </c>
      <c r="B75" s="375"/>
      <c r="C75" s="375"/>
      <c r="D75" s="375"/>
      <c r="E75" s="375"/>
      <c r="F75" s="375"/>
      <c r="G75" s="375"/>
      <c r="H75" s="375"/>
      <c r="I75" s="375"/>
      <c r="J75" s="375"/>
      <c r="K75" s="375"/>
      <c r="L75" s="375"/>
      <c r="M75" s="375"/>
      <c r="N75" s="375"/>
      <c r="O75" s="375"/>
      <c r="P75" s="375"/>
      <c r="Q75" s="375"/>
      <c r="R75" s="375"/>
      <c r="S75" s="375"/>
      <c r="T75" s="375"/>
      <c r="U75" s="375"/>
      <c r="V75" s="375"/>
      <c r="W75" s="375"/>
      <c r="X75" s="375"/>
      <c r="Y75" s="375"/>
      <c r="Z75" s="375"/>
      <c r="AA75" s="376"/>
      <c r="AB75" s="376"/>
      <c r="AC75" s="376"/>
      <c r="AD75" s="375"/>
    </row>
    <row r="76" spans="1:32" ht="22.5" customHeight="1" x14ac:dyDescent="0.35">
      <c r="A76" s="376" t="s">
        <v>7</v>
      </c>
      <c r="B76" s="385"/>
      <c r="C76" s="385"/>
      <c r="D76" s="385"/>
      <c r="E76" s="385"/>
      <c r="F76" s="406" t="s">
        <v>8</v>
      </c>
      <c r="G76" s="407"/>
      <c r="H76" s="407"/>
      <c r="I76" s="407"/>
      <c r="J76" s="407"/>
      <c r="K76" s="407"/>
      <c r="L76" s="407"/>
      <c r="M76" s="407"/>
      <c r="N76" s="407"/>
      <c r="O76" s="407"/>
      <c r="P76" s="407"/>
      <c r="Q76" s="407"/>
      <c r="R76" s="376" t="s">
        <v>43</v>
      </c>
      <c r="S76" s="385"/>
      <c r="T76" s="385"/>
      <c r="U76" s="386"/>
      <c r="V76" s="376" t="s">
        <v>44</v>
      </c>
      <c r="W76" s="385"/>
      <c r="X76" s="385"/>
      <c r="Y76" s="376" t="s">
        <v>166</v>
      </c>
      <c r="Z76" s="385"/>
      <c r="AA76" s="385"/>
      <c r="AB76" s="385"/>
      <c r="AC76" s="385"/>
      <c r="AD76" s="386"/>
    </row>
    <row r="77" spans="1:32" s="222" customFormat="1" ht="22.5" customHeight="1" x14ac:dyDescent="0.35">
      <c r="A77" s="411" t="s">
        <v>180</v>
      </c>
      <c r="B77" s="412"/>
      <c r="C77" s="412"/>
      <c r="D77" s="412"/>
      <c r="E77" s="412"/>
      <c r="F77" s="354" t="s">
        <v>307</v>
      </c>
      <c r="G77" s="355"/>
      <c r="H77" s="355"/>
      <c r="I77" s="355"/>
      <c r="J77" s="355"/>
      <c r="K77" s="355"/>
      <c r="L77" s="355"/>
      <c r="M77" s="355"/>
      <c r="N77" s="355"/>
      <c r="O77" s="355"/>
      <c r="P77" s="355"/>
      <c r="Q77" s="356"/>
      <c r="R77" s="360" t="str">
        <f>IF(F77="","",VLOOKUP(F77,PARAMETROS!$A$2:$F$806,2,FALSE))</f>
        <v>P</v>
      </c>
      <c r="S77" s="361"/>
      <c r="T77" s="361"/>
      <c r="U77" s="362"/>
      <c r="V77" s="360" t="str">
        <f>IF(F77="","",VLOOKUP(F77,PARAMETROS!$A$2:$F$806,3,FALSE))</f>
        <v>1 Lt</v>
      </c>
      <c r="W77" s="361"/>
      <c r="X77" s="362"/>
      <c r="Y77" s="415" t="str">
        <f>IF(F77="","",VLOOKUP(F77,PARAMETROS!$A$2:$F$806,5,FALSE))</f>
        <v>.</v>
      </c>
      <c r="Z77" s="416"/>
      <c r="AA77" s="193"/>
      <c r="AB77" s="193" t="str">
        <f>IF(F77="","",VLOOKUP(F77,PARAMETROS!$A$2:$F$806,4,FALSE))</f>
        <v>No Requiere</v>
      </c>
      <c r="AC77" s="193"/>
      <c r="AD77" s="192"/>
    </row>
    <row r="78" spans="1:32" ht="22.5" customHeight="1" x14ac:dyDescent="0.35">
      <c r="A78" s="265" t="s">
        <v>179</v>
      </c>
      <c r="B78" s="266"/>
      <c r="C78" s="266"/>
      <c r="D78" s="266"/>
      <c r="E78" s="266"/>
      <c r="F78" s="357" t="s">
        <v>307</v>
      </c>
      <c r="G78" s="358"/>
      <c r="H78" s="358"/>
      <c r="I78" s="358"/>
      <c r="J78" s="358"/>
      <c r="K78" s="358"/>
      <c r="L78" s="358"/>
      <c r="M78" s="358"/>
      <c r="N78" s="358"/>
      <c r="O78" s="358"/>
      <c r="P78" s="358"/>
      <c r="Q78" s="359"/>
      <c r="R78" s="267" t="str">
        <f>IF(F78="","",VLOOKUP(F78,PARAMETROS!$A$2:$F$806,2,FALSE))</f>
        <v>P</v>
      </c>
      <c r="S78" s="268"/>
      <c r="T78" s="268"/>
      <c r="U78" s="269"/>
      <c r="V78" s="267" t="str">
        <f>IF(F78="","",VLOOKUP(F78,PARAMETROS!$A$2:$F$806,3,FALSE))</f>
        <v>1 Lt</v>
      </c>
      <c r="W78" s="268"/>
      <c r="X78" s="269"/>
      <c r="Y78" s="267" t="str">
        <f>IF(F78="","",VLOOKUP(F78,PARAMETROS!$A$2:$F$806,5,FALSE))</f>
        <v>.</v>
      </c>
      <c r="Z78" s="268"/>
      <c r="AA78" s="220"/>
      <c r="AB78" s="220" t="str">
        <f>IF(F78="","",VLOOKUP(F78,PARAMETROS!$A$2:$F$806,4,FALSE))</f>
        <v>No Requiere</v>
      </c>
      <c r="AC78" s="220"/>
      <c r="AD78" s="221"/>
    </row>
    <row r="79" spans="1:32" ht="24.75" customHeight="1" x14ac:dyDescent="0.35">
      <c r="A79" s="265" t="s">
        <v>105</v>
      </c>
      <c r="B79" s="266"/>
      <c r="C79" s="266"/>
      <c r="D79" s="266"/>
      <c r="E79" s="266"/>
      <c r="F79" s="357" t="s">
        <v>307</v>
      </c>
      <c r="G79" s="358"/>
      <c r="H79" s="358"/>
      <c r="I79" s="358"/>
      <c r="J79" s="358"/>
      <c r="K79" s="358"/>
      <c r="L79" s="358"/>
      <c r="M79" s="358"/>
      <c r="N79" s="358"/>
      <c r="O79" s="358"/>
      <c r="P79" s="358"/>
      <c r="Q79" s="359"/>
      <c r="R79" s="267" t="str">
        <f>IF(F79="","",VLOOKUP(F79,PARAMETROS!$A$2:$F$806,2,FALSE))</f>
        <v>P</v>
      </c>
      <c r="S79" s="268"/>
      <c r="T79" s="268"/>
      <c r="U79" s="269"/>
      <c r="V79" s="267" t="str">
        <f>IF(F79="","",VLOOKUP(F79,PARAMETROS!$A$2:$F$806,3,FALSE))</f>
        <v>1 Lt</v>
      </c>
      <c r="W79" s="268"/>
      <c r="X79" s="269"/>
      <c r="Y79" s="267" t="str">
        <f>IF(F79="","",VLOOKUP(F79,PARAMETROS!$A$2:$F$806,5,FALSE))</f>
        <v>.</v>
      </c>
      <c r="Z79" s="268"/>
      <c r="AA79" s="220"/>
      <c r="AB79" s="220" t="str">
        <f>IF(F79="","",VLOOKUP(F79,PARAMETROS!$A$2:$F$806,4,FALSE))</f>
        <v>No Requiere</v>
      </c>
      <c r="AC79" s="220"/>
      <c r="AD79" s="221"/>
    </row>
    <row r="80" spans="1:32" s="219" customFormat="1" ht="30" customHeight="1" x14ac:dyDescent="0.35">
      <c r="A80" s="413" t="s">
        <v>350</v>
      </c>
      <c r="B80" s="414"/>
      <c r="C80" s="414"/>
      <c r="D80" s="414"/>
      <c r="E80" s="414"/>
      <c r="F80" s="357" t="s">
        <v>138</v>
      </c>
      <c r="G80" s="358"/>
      <c r="H80" s="358"/>
      <c r="I80" s="358"/>
      <c r="J80" s="358"/>
      <c r="K80" s="358"/>
      <c r="L80" s="358"/>
      <c r="M80" s="358"/>
      <c r="N80" s="358"/>
      <c r="O80" s="358"/>
      <c r="P80" s="358"/>
      <c r="Q80" s="359"/>
      <c r="R80" s="351" t="str">
        <f>IF(F80="","",VLOOKUP(F80,PARAMETROS!$A$2:$F$806,2,FALSE))</f>
        <v>P.E</v>
      </c>
      <c r="S80" s="352"/>
      <c r="T80" s="352"/>
      <c r="U80" s="363"/>
      <c r="V80" s="351" t="str">
        <f>IF(F80="","",VLOOKUP(F80,PARAMETROS!$A$2:$F$806,3,FALSE))</f>
        <v>500 mL</v>
      </c>
      <c r="W80" s="352"/>
      <c r="X80" s="363"/>
      <c r="Y80" s="351" t="str">
        <f>IF(F80="","",VLOOKUP(F80,PARAMETROS!$A$2:$F$806,5,FALSE))</f>
        <v>.</v>
      </c>
      <c r="Z80" s="352"/>
      <c r="AA80" s="239"/>
      <c r="AB80" s="239" t="str">
        <f>IF(F80="","",VLOOKUP(F80,PARAMETROS!$A$2:$F$806,4,FALSE))</f>
        <v>TIO</v>
      </c>
      <c r="AC80" s="239"/>
      <c r="AD80" s="240"/>
    </row>
    <row r="81" spans="1:30" s="73" customFormat="1" ht="30" customHeight="1" x14ac:dyDescent="0.35">
      <c r="A81" s="419" t="s">
        <v>346</v>
      </c>
      <c r="B81" s="420"/>
      <c r="C81" s="420"/>
      <c r="D81" s="420"/>
      <c r="E81" s="420"/>
      <c r="F81" s="364" t="s">
        <v>138</v>
      </c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6"/>
      <c r="R81" s="367" t="str">
        <f>IF(F81="","",VLOOKUP(F81,PARAMETROS!$A$2:$F$806,2,FALSE))</f>
        <v>P.E</v>
      </c>
      <c r="S81" s="368"/>
      <c r="T81" s="368"/>
      <c r="U81" s="369"/>
      <c r="V81" s="367" t="str">
        <f>IF(F81="","",VLOOKUP(F81,PARAMETROS!$A$2:$F$806,3,FALSE))</f>
        <v>500 mL</v>
      </c>
      <c r="W81" s="368"/>
      <c r="X81" s="369"/>
      <c r="Y81" s="367" t="str">
        <f>IF(F81="","",VLOOKUP(F81,PARAMETROS!$A$2:$F$806,5,FALSE))</f>
        <v>.</v>
      </c>
      <c r="Z81" s="368"/>
      <c r="AA81" s="237"/>
      <c r="AB81" s="237" t="str">
        <f>IF(F81="","",VLOOKUP(F81,PARAMETROS!$A$2:$F$806,4,FALSE))</f>
        <v>TIO</v>
      </c>
      <c r="AC81" s="237"/>
      <c r="AD81" s="238"/>
    </row>
    <row r="82" spans="1:30" ht="17.25" customHeight="1" x14ac:dyDescent="0.35">
      <c r="A82" s="417" t="s">
        <v>27</v>
      </c>
      <c r="B82" s="417"/>
      <c r="C82" s="417"/>
      <c r="D82" s="417"/>
      <c r="E82" s="417"/>
      <c r="F82" s="417"/>
      <c r="G82" s="417"/>
      <c r="H82" s="417"/>
      <c r="I82" s="417"/>
      <c r="J82" s="417"/>
      <c r="K82" s="417"/>
      <c r="L82" s="417"/>
      <c r="M82" s="417"/>
      <c r="N82" s="417"/>
      <c r="O82" s="417"/>
      <c r="P82" s="417"/>
      <c r="Q82" s="417"/>
      <c r="R82" s="417"/>
      <c r="S82" s="417"/>
      <c r="T82" s="417"/>
      <c r="U82" s="417"/>
      <c r="V82" s="417"/>
      <c r="W82" s="417"/>
      <c r="X82" s="417"/>
      <c r="Y82" s="417"/>
      <c r="Z82" s="417"/>
      <c r="AA82" s="418"/>
      <c r="AB82" s="418"/>
      <c r="AC82" s="418"/>
      <c r="AD82" s="417"/>
    </row>
    <row r="83" spans="1:30" ht="23.25" customHeight="1" x14ac:dyDescent="0.35">
      <c r="A83" s="387"/>
      <c r="B83" s="388"/>
      <c r="C83" s="388"/>
      <c r="D83" s="388"/>
      <c r="E83" s="388"/>
      <c r="F83" s="388"/>
      <c r="G83" s="388"/>
      <c r="H83" s="388"/>
      <c r="I83" s="388"/>
      <c r="J83" s="388"/>
      <c r="K83" s="388"/>
      <c r="L83" s="388"/>
      <c r="M83" s="388"/>
      <c r="N83" s="388"/>
      <c r="O83" s="388"/>
      <c r="P83" s="388"/>
      <c r="Q83" s="388"/>
      <c r="R83" s="388"/>
      <c r="S83" s="388"/>
      <c r="T83" s="388"/>
      <c r="U83" s="388"/>
      <c r="V83" s="388"/>
      <c r="W83" s="388"/>
      <c r="X83" s="388"/>
      <c r="Y83" s="388"/>
      <c r="Z83" s="388"/>
      <c r="AA83" s="388"/>
      <c r="AB83" s="388"/>
      <c r="AC83" s="388"/>
      <c r="AD83" s="389"/>
    </row>
    <row r="84" spans="1:30" s="60" customFormat="1" ht="50.25" customHeight="1" x14ac:dyDescent="0.35">
      <c r="A84" s="396"/>
      <c r="B84" s="397"/>
      <c r="C84" s="397"/>
      <c r="D84" s="397"/>
      <c r="E84" s="397"/>
      <c r="F84" s="397"/>
      <c r="G84" s="397"/>
      <c r="H84" s="397"/>
      <c r="I84" s="397"/>
      <c r="J84" s="397"/>
      <c r="K84" s="397"/>
      <c r="L84" s="397"/>
      <c r="M84" s="397"/>
      <c r="N84" s="397"/>
      <c r="O84" s="397"/>
      <c r="P84" s="397"/>
      <c r="Q84" s="397"/>
      <c r="R84" s="397"/>
      <c r="S84" s="397"/>
      <c r="T84" s="397"/>
      <c r="U84" s="397"/>
      <c r="V84" s="397"/>
      <c r="W84" s="397"/>
      <c r="X84" s="397"/>
      <c r="Y84" s="397"/>
      <c r="Z84" s="397"/>
      <c r="AA84" s="397"/>
      <c r="AB84" s="397"/>
      <c r="AC84" s="397"/>
      <c r="AD84" s="398"/>
    </row>
    <row r="85" spans="1:30" s="86" customFormat="1" ht="25.5" customHeight="1" x14ac:dyDescent="0.35">
      <c r="A85" s="67" t="s">
        <v>264</v>
      </c>
      <c r="B85" s="83"/>
      <c r="C85" s="83"/>
      <c r="D85" s="83"/>
      <c r="E85" s="83"/>
      <c r="F85" s="83"/>
      <c r="G85" s="83"/>
      <c r="H85" s="83"/>
      <c r="I85" s="83"/>
      <c r="J85" s="83"/>
      <c r="K85" s="83"/>
      <c r="L85" s="83"/>
      <c r="M85" s="83"/>
      <c r="N85" s="83"/>
      <c r="O85" s="83"/>
      <c r="P85" s="83"/>
      <c r="Q85" s="83"/>
      <c r="R85" s="83"/>
      <c r="S85" s="83"/>
      <c r="T85" s="83"/>
      <c r="U85" s="83"/>
      <c r="V85" s="83"/>
      <c r="W85" s="83"/>
      <c r="X85" s="83"/>
      <c r="Y85" s="83"/>
      <c r="Z85" s="83"/>
      <c r="AA85" s="83"/>
      <c r="AB85" s="83"/>
      <c r="AC85" s="83"/>
      <c r="AD85" s="83"/>
    </row>
    <row r="86" spans="1:30" s="60" customFormat="1" ht="234" customHeight="1" x14ac:dyDescent="0.35">
      <c r="C86" s="105"/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O86" s="82"/>
      <c r="P86" s="82"/>
      <c r="Q86" s="82"/>
      <c r="R86" s="82"/>
      <c r="S86" s="84"/>
      <c r="T86" s="84"/>
      <c r="U86" s="106"/>
      <c r="V86" s="106"/>
      <c r="W86" s="106"/>
      <c r="X86" s="106"/>
      <c r="Y86" s="106"/>
      <c r="Z86" s="106"/>
      <c r="AA86" s="106"/>
      <c r="AB86" s="84"/>
      <c r="AC86" s="84"/>
      <c r="AD86" s="81"/>
    </row>
    <row r="87" spans="1:30" ht="36.75" customHeight="1" x14ac:dyDescent="0.35">
      <c r="A87" s="85"/>
      <c r="B87" s="86"/>
      <c r="C87" s="86"/>
      <c r="D87" s="395" t="s">
        <v>266</v>
      </c>
      <c r="E87" s="395"/>
      <c r="F87" s="395"/>
      <c r="G87" s="395"/>
      <c r="H87" s="395"/>
      <c r="I87" s="395"/>
      <c r="J87" s="395"/>
      <c r="K87" s="395"/>
      <c r="L87" s="86"/>
      <c r="M87" s="87"/>
      <c r="N87" s="87"/>
      <c r="O87" s="87"/>
      <c r="P87" s="87"/>
      <c r="Q87" s="87"/>
      <c r="R87" s="87"/>
      <c r="S87" s="86"/>
      <c r="T87" s="57"/>
      <c r="U87" s="353" t="s">
        <v>256</v>
      </c>
      <c r="V87" s="353"/>
      <c r="W87" s="353"/>
      <c r="X87" s="353"/>
      <c r="Y87" s="353"/>
      <c r="Z87" s="353"/>
      <c r="AA87" s="353"/>
      <c r="AB87" s="59"/>
      <c r="AC87" s="59"/>
      <c r="AD87" s="68"/>
    </row>
    <row r="88" spans="1:30" x14ac:dyDescent="0.35">
      <c r="A88" s="88"/>
      <c r="B88" s="374"/>
      <c r="C88" s="374"/>
      <c r="D88" s="374"/>
      <c r="E88" s="374"/>
      <c r="F88" s="374"/>
      <c r="G88" s="88"/>
      <c r="H88" s="60"/>
      <c r="I88" s="60"/>
      <c r="J88" s="60"/>
      <c r="K88" s="60"/>
      <c r="L88" s="60"/>
      <c r="M88" s="82"/>
      <c r="N88" s="82"/>
      <c r="O88" s="82"/>
      <c r="P88" s="82"/>
      <c r="Q88" s="82"/>
      <c r="R88" s="82"/>
      <c r="S88" s="342"/>
      <c r="T88" s="342"/>
      <c r="U88" s="342"/>
      <c r="V88" s="342"/>
      <c r="W88" s="342"/>
      <c r="X88" s="342"/>
      <c r="Y88" s="342"/>
      <c r="Z88" s="83"/>
      <c r="AA88" s="83"/>
      <c r="AB88" s="83"/>
      <c r="AC88" s="83"/>
      <c r="AD88" s="81"/>
    </row>
  </sheetData>
  <sheetProtection formatCells="0" formatColumns="0" formatRows="0" insertColumns="0" insertRows="0" insertHyperlinks="0" sort="0" autoFilter="0" pivotTables="0"/>
  <mergeCells count="299">
    <mergeCell ref="B42:O42"/>
    <mergeCell ref="P42:Q42"/>
    <mergeCell ref="S42:U42"/>
    <mergeCell ref="Z42:AA42"/>
    <mergeCell ref="AB42:AD42"/>
    <mergeCell ref="B31:O31"/>
    <mergeCell ref="P31:Q31"/>
    <mergeCell ref="S31:U31"/>
    <mergeCell ref="Z31:AA31"/>
    <mergeCell ref="AB31:AD31"/>
    <mergeCell ref="B34:O34"/>
    <mergeCell ref="P34:Q34"/>
    <mergeCell ref="S34:U34"/>
    <mergeCell ref="Z34:AA34"/>
    <mergeCell ref="AB34:AD34"/>
    <mergeCell ref="B36:O36"/>
    <mergeCell ref="P36:Q36"/>
    <mergeCell ref="S36:U36"/>
    <mergeCell ref="Z36:AA36"/>
    <mergeCell ref="AB36:AD36"/>
    <mergeCell ref="B35:O35"/>
    <mergeCell ref="P35:Q35"/>
    <mergeCell ref="S35:U35"/>
    <mergeCell ref="Z35:AA35"/>
    <mergeCell ref="B32:O32"/>
    <mergeCell ref="P32:Q32"/>
    <mergeCell ref="S32:U32"/>
    <mergeCell ref="Z32:AA32"/>
    <mergeCell ref="AB32:AD32"/>
    <mergeCell ref="B41:O41"/>
    <mergeCell ref="P41:Q41"/>
    <mergeCell ref="S41:U41"/>
    <mergeCell ref="Z41:AA41"/>
    <mergeCell ref="AB41:AD41"/>
    <mergeCell ref="AB35:AD35"/>
    <mergeCell ref="B38:O38"/>
    <mergeCell ref="P38:Q38"/>
    <mergeCell ref="S38:U38"/>
    <mergeCell ref="Z38:AA38"/>
    <mergeCell ref="AB38:AD38"/>
    <mergeCell ref="B37:O37"/>
    <mergeCell ref="P37:Q37"/>
    <mergeCell ref="S37:U37"/>
    <mergeCell ref="Z37:AA37"/>
    <mergeCell ref="AB37:AD37"/>
    <mergeCell ref="B33:O33"/>
    <mergeCell ref="P33:Q33"/>
    <mergeCell ref="S33:U33"/>
    <mergeCell ref="Z33:AA33"/>
    <mergeCell ref="AB33:AD33"/>
    <mergeCell ref="D65:E65"/>
    <mergeCell ref="D68:E68"/>
    <mergeCell ref="F68:G68"/>
    <mergeCell ref="H68:I68"/>
    <mergeCell ref="AC68:AD68"/>
    <mergeCell ref="Z17:AA17"/>
    <mergeCell ref="AB17:AD17"/>
    <mergeCell ref="Z18:AA18"/>
    <mergeCell ref="Z19:AA19"/>
    <mergeCell ref="Z20:AA20"/>
    <mergeCell ref="Z21:AA21"/>
    <mergeCell ref="Z22:AA22"/>
    <mergeCell ref="Z23:AA23"/>
    <mergeCell ref="Z24:AA24"/>
    <mergeCell ref="Z25:AA25"/>
    <mergeCell ref="Z26:AA26"/>
    <mergeCell ref="Z27:AA27"/>
    <mergeCell ref="Z28:AA28"/>
    <mergeCell ref="Z29:AA29"/>
    <mergeCell ref="Z43:AA43"/>
    <mergeCell ref="Z44:AA44"/>
    <mergeCell ref="Z47:AA47"/>
    <mergeCell ref="AB18:AD18"/>
    <mergeCell ref="H60:I60"/>
    <mergeCell ref="A82:AD82"/>
    <mergeCell ref="H58:I58"/>
    <mergeCell ref="A81:E81"/>
    <mergeCell ref="H66:I66"/>
    <mergeCell ref="H67:I67"/>
    <mergeCell ref="H69:I69"/>
    <mergeCell ref="H63:I63"/>
    <mergeCell ref="AC56:AD56"/>
    <mergeCell ref="AC57:AD57"/>
    <mergeCell ref="AC58:AD58"/>
    <mergeCell ref="R76:U76"/>
    <mergeCell ref="V76:X76"/>
    <mergeCell ref="H57:I57"/>
    <mergeCell ref="F69:G69"/>
    <mergeCell ref="H64:I64"/>
    <mergeCell ref="H62:I62"/>
    <mergeCell ref="F62:G62"/>
    <mergeCell ref="F63:G63"/>
    <mergeCell ref="H65:I65"/>
    <mergeCell ref="F59:G59"/>
    <mergeCell ref="F60:G60"/>
    <mergeCell ref="F61:G61"/>
    <mergeCell ref="F72:G72"/>
    <mergeCell ref="N72:O72"/>
    <mergeCell ref="A70:D70"/>
    <mergeCell ref="A71:AD71"/>
    <mergeCell ref="D69:E69"/>
    <mergeCell ref="AC72:AD72"/>
    <mergeCell ref="F76:Q76"/>
    <mergeCell ref="A66:C66"/>
    <mergeCell ref="F67:G67"/>
    <mergeCell ref="A76:E76"/>
    <mergeCell ref="AC59:AD59"/>
    <mergeCell ref="AC60:AD60"/>
    <mergeCell ref="AC61:AD61"/>
    <mergeCell ref="AC62:AD62"/>
    <mergeCell ref="AC64:AD64"/>
    <mergeCell ref="AC65:AD65"/>
    <mergeCell ref="AC66:AD66"/>
    <mergeCell ref="AC67:AD67"/>
    <mergeCell ref="AC69:AD69"/>
    <mergeCell ref="H59:I59"/>
    <mergeCell ref="H56:I56"/>
    <mergeCell ref="A15:B15"/>
    <mergeCell ref="B88:F88"/>
    <mergeCell ref="A75:AD75"/>
    <mergeCell ref="S88:Y88"/>
    <mergeCell ref="A78:E78"/>
    <mergeCell ref="D56:E56"/>
    <mergeCell ref="D57:E57"/>
    <mergeCell ref="D67:E67"/>
    <mergeCell ref="D66:E66"/>
    <mergeCell ref="D64:E64"/>
    <mergeCell ref="D63:E63"/>
    <mergeCell ref="D62:E62"/>
    <mergeCell ref="D61:E61"/>
    <mergeCell ref="D60:E60"/>
    <mergeCell ref="D59:E59"/>
    <mergeCell ref="D58:E58"/>
    <mergeCell ref="Y76:AD76"/>
    <mergeCell ref="A83:AD83"/>
    <mergeCell ref="AC63:AD63"/>
    <mergeCell ref="C15:W15"/>
    <mergeCell ref="Z16:AD16"/>
    <mergeCell ref="D87:K87"/>
    <mergeCell ref="Y80:Z80"/>
    <mergeCell ref="U87:AA87"/>
    <mergeCell ref="F77:Q77"/>
    <mergeCell ref="F78:Q78"/>
    <mergeCell ref="F80:Q80"/>
    <mergeCell ref="R77:U77"/>
    <mergeCell ref="R78:U78"/>
    <mergeCell ref="R80:U80"/>
    <mergeCell ref="V77:X77"/>
    <mergeCell ref="V78:X78"/>
    <mergeCell ref="V80:X80"/>
    <mergeCell ref="F81:Q81"/>
    <mergeCell ref="R81:U81"/>
    <mergeCell ref="V81:X81"/>
    <mergeCell ref="Y81:Z81"/>
    <mergeCell ref="F79:Q79"/>
    <mergeCell ref="A84:AD84"/>
    <mergeCell ref="A77:E77"/>
    <mergeCell ref="A80:E80"/>
    <mergeCell ref="Y77:Z77"/>
    <mergeCell ref="Y78:Z78"/>
    <mergeCell ref="F70:G70"/>
    <mergeCell ref="T64:Y64"/>
    <mergeCell ref="M3:O3"/>
    <mergeCell ref="B16:O16"/>
    <mergeCell ref="V16:Y16"/>
    <mergeCell ref="A5:AD5"/>
    <mergeCell ref="D55:E55"/>
    <mergeCell ref="A13:H13"/>
    <mergeCell ref="A3:B3"/>
    <mergeCell ref="F57:G57"/>
    <mergeCell ref="F58:G58"/>
    <mergeCell ref="F64:G64"/>
    <mergeCell ref="F65:G65"/>
    <mergeCell ref="P23:Q23"/>
    <mergeCell ref="B24:O24"/>
    <mergeCell ref="P24:Q24"/>
    <mergeCell ref="H61:I61"/>
    <mergeCell ref="B28:O28"/>
    <mergeCell ref="P28:Q28"/>
    <mergeCell ref="P3:U3"/>
    <mergeCell ref="F66:G66"/>
    <mergeCell ref="Y2:AC3"/>
    <mergeCell ref="B21:O21"/>
    <mergeCell ref="B20:O20"/>
    <mergeCell ref="F1:AB1"/>
    <mergeCell ref="B18:O18"/>
    <mergeCell ref="P16:Q16"/>
    <mergeCell ref="S16:U16"/>
    <mergeCell ref="S28:U28"/>
    <mergeCell ref="AB19:AD19"/>
    <mergeCell ref="AB25:AD25"/>
    <mergeCell ref="AB26:AD26"/>
    <mergeCell ref="AB27:AD27"/>
    <mergeCell ref="AB28:AD28"/>
    <mergeCell ref="P17:Q17"/>
    <mergeCell ref="B17:O17"/>
    <mergeCell ref="B19:O19"/>
    <mergeCell ref="B23:O23"/>
    <mergeCell ref="P18:Q18"/>
    <mergeCell ref="P19:Q19"/>
    <mergeCell ref="P20:Q20"/>
    <mergeCell ref="P21:Q21"/>
    <mergeCell ref="P22:Q22"/>
    <mergeCell ref="B22:O22"/>
    <mergeCell ref="S17:U17"/>
    <mergeCell ref="S18:U18"/>
    <mergeCell ref="S19:U19"/>
    <mergeCell ref="S20:U20"/>
    <mergeCell ref="AB29:AD29"/>
    <mergeCell ref="AB43:AD43"/>
    <mergeCell ref="AB44:AD44"/>
    <mergeCell ref="AB47:AD47"/>
    <mergeCell ref="P27:Q27"/>
    <mergeCell ref="B40:O40"/>
    <mergeCell ref="P40:Q40"/>
    <mergeCell ref="S40:U40"/>
    <mergeCell ref="Z40:AA40"/>
    <mergeCell ref="AB40:AD40"/>
    <mergeCell ref="B30:O30"/>
    <mergeCell ref="P30:Q30"/>
    <mergeCell ref="S30:U30"/>
    <mergeCell ref="Z30:AA30"/>
    <mergeCell ref="AB30:AD30"/>
    <mergeCell ref="B39:O39"/>
    <mergeCell ref="P39:Q39"/>
    <mergeCell ref="S39:U39"/>
    <mergeCell ref="Z39:AA39"/>
    <mergeCell ref="AB39:AD39"/>
    <mergeCell ref="S27:U27"/>
    <mergeCell ref="B45:O45"/>
    <mergeCell ref="P45:Q45"/>
    <mergeCell ref="S45:U45"/>
    <mergeCell ref="F55:G55"/>
    <mergeCell ref="H55:I55"/>
    <mergeCell ref="K55:P55"/>
    <mergeCell ref="Q55:R55"/>
    <mergeCell ref="A48:AD48"/>
    <mergeCell ref="A54:I54"/>
    <mergeCell ref="S43:U43"/>
    <mergeCell ref="AC55:AD55"/>
    <mergeCell ref="S44:U44"/>
    <mergeCell ref="S47:U47"/>
    <mergeCell ref="B43:O43"/>
    <mergeCell ref="P43:Q43"/>
    <mergeCell ref="B46:O46"/>
    <mergeCell ref="P46:Q46"/>
    <mergeCell ref="S46:U46"/>
    <mergeCell ref="Z46:AA46"/>
    <mergeCell ref="AB46:AD46"/>
    <mergeCell ref="Z45:AA45"/>
    <mergeCell ref="AB45:AD45"/>
    <mergeCell ref="A49:AD51"/>
    <mergeCell ref="T54:Y54"/>
    <mergeCell ref="A52:AD52"/>
    <mergeCell ref="AA54:AD54"/>
    <mergeCell ref="S21:U21"/>
    <mergeCell ref="S22:U22"/>
    <mergeCell ref="S23:U23"/>
    <mergeCell ref="S24:U24"/>
    <mergeCell ref="AB20:AD20"/>
    <mergeCell ref="AB21:AD21"/>
    <mergeCell ref="AB22:AD22"/>
    <mergeCell ref="AB23:AD23"/>
    <mergeCell ref="AB24:AD24"/>
    <mergeCell ref="F6:AD6"/>
    <mergeCell ref="F8:AD8"/>
    <mergeCell ref="F7:AD7"/>
    <mergeCell ref="F12:R12"/>
    <mergeCell ref="F11:R11"/>
    <mergeCell ref="F10:R10"/>
    <mergeCell ref="F9:R9"/>
    <mergeCell ref="X10:AD10"/>
    <mergeCell ref="X9:AD9"/>
    <mergeCell ref="X12:AD12"/>
    <mergeCell ref="X11:AD11"/>
    <mergeCell ref="A79:E79"/>
    <mergeCell ref="R79:U79"/>
    <mergeCell ref="V79:X79"/>
    <mergeCell ref="Y79:Z79"/>
    <mergeCell ref="P25:Q25"/>
    <mergeCell ref="B44:O44"/>
    <mergeCell ref="P44:Q44"/>
    <mergeCell ref="B47:O47"/>
    <mergeCell ref="B25:O25"/>
    <mergeCell ref="S25:U25"/>
    <mergeCell ref="S26:U26"/>
    <mergeCell ref="P47:Q47"/>
    <mergeCell ref="B29:O29"/>
    <mergeCell ref="P29:Q29"/>
    <mergeCell ref="S29:U29"/>
    <mergeCell ref="F56:G56"/>
    <mergeCell ref="Z70:AD70"/>
    <mergeCell ref="W70:Y70"/>
    <mergeCell ref="M70:R70"/>
    <mergeCell ref="H70:J70"/>
    <mergeCell ref="K54:R54"/>
    <mergeCell ref="B26:O26"/>
    <mergeCell ref="P26:Q26"/>
    <mergeCell ref="B27:O27"/>
  </mergeCells>
  <hyperlinks>
    <hyperlink ref="X10" r:id="rId1" xr:uid="{124F105C-181E-41F8-8ACC-0626612AFE77}"/>
  </hyperlinks>
  <printOptions horizontalCentered="1"/>
  <pageMargins left="0.51181102362204722" right="0.51181102362204722" top="0.35433070866141736" bottom="0.35433070866141736" header="0" footer="0"/>
  <pageSetup paperSize="9" scale="37" orientation="portrait" horizontalDpi="360" verticalDpi="360" r:id="rId2"/>
  <headerFooter>
    <oddFooter>&amp;LFR-13-08-06/&amp;"-,Negrita Cursiva"&amp;K0070C0V05, 2023.06.20&amp;K0070C0
&amp;R&amp;"-,Negrita Cursiva"&amp;K0070C0CCC/CYP/CYP&amp;"-,Normal"&amp;K01+000
1 DE 1</oddFooter>
  </headerFooter>
  <drawing r:id="rId3"/>
  <legacyDrawing r:id="rId4"/>
  <controls>
    <mc:AlternateContent xmlns:mc="http://schemas.openxmlformats.org/markup-compatibility/2006">
      <mc:Choice Requires="x14">
        <control shapeId="1028" r:id="rId5" name="TempCombo">
          <controlPr defaultSize="0" autoLine="0" r:id="rId6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15</xdr:col>
                <xdr:colOff>69850</xdr:colOff>
                <xdr:row>38</xdr:row>
                <xdr:rowOff>69850</xdr:rowOff>
              </to>
            </anchor>
          </controlPr>
        </control>
      </mc:Choice>
      <mc:Fallback>
        <control shapeId="1028" r:id="rId5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DropDown="1" showInputMessage="1" showErrorMessage="1" xr:uid="{00000000-0002-0000-0000-000000000000}">
          <x14:formula1>
            <xm:f>MATRIZ!$H$4:$H$100</xm:f>
          </x14:formula1>
          <xm:sqref>X11:AD11</xm:sqref>
        </x14:dataValidation>
        <x14:dataValidation type="list" allowBlank="1" showDropDown="1" showInputMessage="1" showErrorMessage="1" xr:uid="{00000000-0002-0000-0000-000001000000}">
          <x14:formula1>
            <xm:f>MATRIZ!$E$4:$E$50</xm:f>
          </x14:formula1>
          <xm:sqref>X12:AD12</xm:sqref>
        </x14:dataValidation>
        <x14:dataValidation type="list" allowBlank="1" showDropDown="1" showInputMessage="1" showErrorMessage="1" xr:uid="{00000000-0002-0000-0000-000002000000}">
          <x14:formula1>
            <xm:f>MATRIZ!$B$4:$B$100</xm:f>
          </x14:formula1>
          <xm:sqref>C15:W15</xm:sqref>
        </x14:dataValidation>
        <x14:dataValidation type="list" allowBlank="1" showDropDown="1" showInputMessage="1" showErrorMessage="1" xr:uid="{00000000-0002-0000-0000-000003000000}">
          <x14:formula1>
            <xm:f>PARAMETROS!$A$2:$A$819</xm:f>
          </x14:formula1>
          <xm:sqref>F77:Q81 B17:O47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29432-B3F8-4CEE-AB17-24ACBDFF1794}">
  <dimension ref="A1"/>
  <sheetViews>
    <sheetView workbookViewId="0">
      <selection activeCell="B2" sqref="B2"/>
    </sheetView>
  </sheetViews>
  <sheetFormatPr baseColWidth="10"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175"/>
  <sheetViews>
    <sheetView workbookViewId="0">
      <pane ySplit="1" topLeftCell="A77" activePane="bottomLeft" state="frozen"/>
      <selection pane="bottomLeft" activeCell="B84" sqref="B84:G84"/>
    </sheetView>
  </sheetViews>
  <sheetFormatPr baseColWidth="10" defaultRowHeight="14.5" x14ac:dyDescent="0.35"/>
  <cols>
    <col min="1" max="1" width="61.7265625" customWidth="1"/>
    <col min="2" max="2" width="14.81640625" customWidth="1"/>
    <col min="3" max="3" width="10.54296875" customWidth="1"/>
    <col min="4" max="4" width="52.81640625" customWidth="1"/>
    <col min="5" max="5" width="8.54296875" customWidth="1"/>
    <col min="6" max="6" width="24.81640625" customWidth="1"/>
    <col min="7" max="7" width="25.54296875" customWidth="1"/>
  </cols>
  <sheetData>
    <row r="1" spans="1:7" ht="24" thickBot="1" x14ac:dyDescent="0.4">
      <c r="A1" s="137" t="s">
        <v>290</v>
      </c>
      <c r="B1" s="131" t="s">
        <v>45</v>
      </c>
      <c r="C1" s="15" t="s">
        <v>46</v>
      </c>
      <c r="D1" s="434" t="s">
        <v>167</v>
      </c>
      <c r="E1" s="435"/>
      <c r="F1" s="436" t="s">
        <v>62</v>
      </c>
      <c r="G1" s="437"/>
    </row>
    <row r="2" spans="1:7" x14ac:dyDescent="0.35">
      <c r="A2" s="139" t="s">
        <v>192</v>
      </c>
      <c r="B2" s="207" t="s">
        <v>48</v>
      </c>
      <c r="C2" s="208" t="s">
        <v>50</v>
      </c>
      <c r="D2" s="209" t="s">
        <v>171</v>
      </c>
      <c r="E2" s="208" t="s">
        <v>102</v>
      </c>
      <c r="F2" s="255" t="s">
        <v>190</v>
      </c>
      <c r="G2" s="245" t="s">
        <v>51</v>
      </c>
    </row>
    <row r="3" spans="1:7" x14ac:dyDescent="0.35">
      <c r="A3" s="121" t="s">
        <v>131</v>
      </c>
      <c r="B3" s="135" t="s">
        <v>53</v>
      </c>
      <c r="C3" s="13" t="s">
        <v>47</v>
      </c>
      <c r="D3" s="1" t="s">
        <v>171</v>
      </c>
      <c r="E3" s="13" t="s">
        <v>365</v>
      </c>
      <c r="F3" s="254">
        <v>2</v>
      </c>
      <c r="G3" s="246" t="s">
        <v>357</v>
      </c>
    </row>
    <row r="4" spans="1:7" x14ac:dyDescent="0.35">
      <c r="A4" s="121" t="s">
        <v>63</v>
      </c>
      <c r="B4" s="133" t="s">
        <v>48</v>
      </c>
      <c r="C4" s="13" t="s">
        <v>54</v>
      </c>
      <c r="D4" s="1" t="s">
        <v>64</v>
      </c>
      <c r="E4" s="13" t="s">
        <v>106</v>
      </c>
      <c r="F4" s="254">
        <v>1</v>
      </c>
      <c r="G4" s="246" t="s">
        <v>358</v>
      </c>
    </row>
    <row r="5" spans="1:7" x14ac:dyDescent="0.35">
      <c r="A5" s="121" t="s">
        <v>338</v>
      </c>
      <c r="B5" s="134" t="s">
        <v>48</v>
      </c>
      <c r="C5" s="13" t="s">
        <v>47</v>
      </c>
      <c r="D5" s="3" t="s">
        <v>64</v>
      </c>
      <c r="E5" s="14" t="s">
        <v>106</v>
      </c>
      <c r="F5" s="256" t="s">
        <v>190</v>
      </c>
      <c r="G5" s="247" t="s">
        <v>51</v>
      </c>
    </row>
    <row r="6" spans="1:7" x14ac:dyDescent="0.35">
      <c r="A6" s="121" t="s">
        <v>337</v>
      </c>
      <c r="B6" s="134" t="s">
        <v>48</v>
      </c>
      <c r="C6" s="13" t="s">
        <v>47</v>
      </c>
      <c r="D6" s="3" t="s">
        <v>64</v>
      </c>
      <c r="E6" s="14" t="s">
        <v>106</v>
      </c>
      <c r="F6" s="257" t="s">
        <v>190</v>
      </c>
      <c r="G6" s="247" t="s">
        <v>51</v>
      </c>
    </row>
    <row r="7" spans="1:7" x14ac:dyDescent="0.35">
      <c r="A7" s="121" t="s">
        <v>375</v>
      </c>
      <c r="B7" s="134" t="s">
        <v>48</v>
      </c>
      <c r="C7" s="13" t="s">
        <v>47</v>
      </c>
      <c r="D7" s="3" t="s">
        <v>64</v>
      </c>
      <c r="E7" s="14" t="s">
        <v>106</v>
      </c>
      <c r="F7" s="257" t="s">
        <v>190</v>
      </c>
      <c r="G7" s="247" t="s">
        <v>51</v>
      </c>
    </row>
    <row r="8" spans="1:7" x14ac:dyDescent="0.35">
      <c r="A8" s="121" t="s">
        <v>200</v>
      </c>
      <c r="B8" s="135" t="s">
        <v>271</v>
      </c>
      <c r="C8" s="13" t="s">
        <v>54</v>
      </c>
      <c r="D8" s="1" t="s">
        <v>51</v>
      </c>
      <c r="E8" s="13" t="s">
        <v>106</v>
      </c>
      <c r="F8" s="257" t="s">
        <v>190</v>
      </c>
      <c r="G8" s="246" t="s">
        <v>51</v>
      </c>
    </row>
    <row r="9" spans="1:7" x14ac:dyDescent="0.35">
      <c r="A9" s="121" t="s">
        <v>207</v>
      </c>
      <c r="B9" s="135" t="s">
        <v>271</v>
      </c>
      <c r="C9" s="13" t="s">
        <v>54</v>
      </c>
      <c r="D9" s="1" t="s">
        <v>51</v>
      </c>
      <c r="E9" s="13" t="s">
        <v>106</v>
      </c>
      <c r="F9" s="257" t="s">
        <v>190</v>
      </c>
      <c r="G9" s="246" t="s">
        <v>51</v>
      </c>
    </row>
    <row r="10" spans="1:7" x14ac:dyDescent="0.35">
      <c r="A10" s="121" t="s">
        <v>204</v>
      </c>
      <c r="B10" s="135" t="s">
        <v>271</v>
      </c>
      <c r="C10" s="13" t="s">
        <v>54</v>
      </c>
      <c r="D10" s="1" t="s">
        <v>51</v>
      </c>
      <c r="E10" s="13" t="s">
        <v>106</v>
      </c>
      <c r="F10" s="257" t="s">
        <v>190</v>
      </c>
      <c r="G10" s="246" t="s">
        <v>51</v>
      </c>
    </row>
    <row r="11" spans="1:7" x14ac:dyDescent="0.35">
      <c r="A11" s="121" t="s">
        <v>204</v>
      </c>
      <c r="B11" s="135" t="s">
        <v>271</v>
      </c>
      <c r="C11" s="13" t="s">
        <v>54</v>
      </c>
      <c r="D11" s="1" t="s">
        <v>51</v>
      </c>
      <c r="E11" s="13" t="s">
        <v>106</v>
      </c>
      <c r="F11" s="257" t="s">
        <v>190</v>
      </c>
      <c r="G11" s="246" t="s">
        <v>51</v>
      </c>
    </row>
    <row r="12" spans="1:7" x14ac:dyDescent="0.35">
      <c r="A12" s="121" t="s">
        <v>206</v>
      </c>
      <c r="B12" s="135" t="s">
        <v>271</v>
      </c>
      <c r="C12" s="13" t="s">
        <v>54</v>
      </c>
      <c r="D12" s="1" t="s">
        <v>51</v>
      </c>
      <c r="E12" s="13" t="s">
        <v>106</v>
      </c>
      <c r="F12" s="257" t="s">
        <v>190</v>
      </c>
      <c r="G12" s="246" t="s">
        <v>51</v>
      </c>
    </row>
    <row r="13" spans="1:7" x14ac:dyDescent="0.35">
      <c r="A13" s="121" t="s">
        <v>203</v>
      </c>
      <c r="B13" s="135" t="s">
        <v>271</v>
      </c>
      <c r="C13" s="13" t="s">
        <v>54</v>
      </c>
      <c r="D13" s="1" t="s">
        <v>51</v>
      </c>
      <c r="E13" s="13" t="s">
        <v>106</v>
      </c>
      <c r="F13" s="257" t="s">
        <v>190</v>
      </c>
      <c r="G13" s="246" t="s">
        <v>51</v>
      </c>
    </row>
    <row r="14" spans="1:7" x14ac:dyDescent="0.35">
      <c r="A14" s="121" t="s">
        <v>202</v>
      </c>
      <c r="B14" s="135" t="s">
        <v>271</v>
      </c>
      <c r="C14" s="13" t="s">
        <v>54</v>
      </c>
      <c r="D14" s="1" t="s">
        <v>51</v>
      </c>
      <c r="E14" s="13" t="s">
        <v>106</v>
      </c>
      <c r="F14" s="257" t="s">
        <v>190</v>
      </c>
      <c r="G14" s="246" t="s">
        <v>51</v>
      </c>
    </row>
    <row r="15" spans="1:7" x14ac:dyDescent="0.35">
      <c r="A15" s="121" t="s">
        <v>205</v>
      </c>
      <c r="B15" s="135" t="s">
        <v>271</v>
      </c>
      <c r="C15" s="13" t="s">
        <v>54</v>
      </c>
      <c r="D15" s="1" t="s">
        <v>51</v>
      </c>
      <c r="E15" s="13" t="s">
        <v>106</v>
      </c>
      <c r="F15" s="257" t="s">
        <v>190</v>
      </c>
      <c r="G15" s="246" t="s">
        <v>51</v>
      </c>
    </row>
    <row r="16" spans="1:7" x14ac:dyDescent="0.35">
      <c r="A16" s="121" t="s">
        <v>199</v>
      </c>
      <c r="B16" s="135" t="s">
        <v>271</v>
      </c>
      <c r="C16" s="13" t="s">
        <v>54</v>
      </c>
      <c r="D16" s="1" t="s">
        <v>51</v>
      </c>
      <c r="E16" s="13" t="s">
        <v>106</v>
      </c>
      <c r="F16" s="257" t="s">
        <v>190</v>
      </c>
      <c r="G16" s="246" t="s">
        <v>51</v>
      </c>
    </row>
    <row r="17" spans="1:7" x14ac:dyDescent="0.35">
      <c r="A17" s="121" t="s">
        <v>201</v>
      </c>
      <c r="B17" s="135" t="s">
        <v>271</v>
      </c>
      <c r="C17" s="13" t="s">
        <v>54</v>
      </c>
      <c r="D17" s="1" t="s">
        <v>51</v>
      </c>
      <c r="E17" s="13" t="s">
        <v>106</v>
      </c>
      <c r="F17" s="257" t="s">
        <v>190</v>
      </c>
      <c r="G17" s="246" t="s">
        <v>51</v>
      </c>
    </row>
    <row r="18" spans="1:7" x14ac:dyDescent="0.35">
      <c r="A18" s="121" t="s">
        <v>293</v>
      </c>
      <c r="B18" s="135" t="s">
        <v>295</v>
      </c>
      <c r="C18" s="13" t="s">
        <v>298</v>
      </c>
      <c r="D18" s="1" t="s">
        <v>51</v>
      </c>
      <c r="E18" s="13" t="s">
        <v>106</v>
      </c>
      <c r="F18" s="257" t="s">
        <v>190</v>
      </c>
      <c r="G18" s="246" t="s">
        <v>51</v>
      </c>
    </row>
    <row r="19" spans="1:7" x14ac:dyDescent="0.35">
      <c r="A19" s="121" t="s">
        <v>296</v>
      </c>
      <c r="B19" s="135" t="s">
        <v>295</v>
      </c>
      <c r="C19" s="13" t="s">
        <v>299</v>
      </c>
      <c r="D19" s="1" t="s">
        <v>51</v>
      </c>
      <c r="E19" s="13" t="s">
        <v>106</v>
      </c>
      <c r="F19" s="257" t="s">
        <v>190</v>
      </c>
      <c r="G19" s="246" t="s">
        <v>51</v>
      </c>
    </row>
    <row r="20" spans="1:7" x14ac:dyDescent="0.35">
      <c r="A20" s="121" t="s">
        <v>294</v>
      </c>
      <c r="B20" s="135" t="s">
        <v>295</v>
      </c>
      <c r="C20" s="13" t="s">
        <v>300</v>
      </c>
      <c r="D20" s="1" t="s">
        <v>51</v>
      </c>
      <c r="E20" s="13" t="s">
        <v>106</v>
      </c>
      <c r="F20" s="257" t="s">
        <v>190</v>
      </c>
      <c r="G20" s="246" t="s">
        <v>51</v>
      </c>
    </row>
    <row r="21" spans="1:7" x14ac:dyDescent="0.35">
      <c r="A21" s="121" t="s">
        <v>297</v>
      </c>
      <c r="B21" s="135" t="s">
        <v>295</v>
      </c>
      <c r="C21" s="13" t="s">
        <v>301</v>
      </c>
      <c r="D21" s="1" t="s">
        <v>51</v>
      </c>
      <c r="E21" s="13" t="s">
        <v>106</v>
      </c>
      <c r="F21" s="257" t="s">
        <v>190</v>
      </c>
      <c r="G21" s="246" t="s">
        <v>51</v>
      </c>
    </row>
    <row r="22" spans="1:7" x14ac:dyDescent="0.35">
      <c r="A22" s="121" t="s">
        <v>198</v>
      </c>
      <c r="B22" s="135" t="s">
        <v>271</v>
      </c>
      <c r="C22" s="13" t="s">
        <v>54</v>
      </c>
      <c r="D22" s="1" t="s">
        <v>51</v>
      </c>
      <c r="E22" s="13" t="s">
        <v>106</v>
      </c>
      <c r="F22" s="257" t="s">
        <v>190</v>
      </c>
      <c r="G22" s="246" t="s">
        <v>51</v>
      </c>
    </row>
    <row r="23" spans="1:7" x14ac:dyDescent="0.35">
      <c r="A23" s="121" t="s">
        <v>267</v>
      </c>
      <c r="B23" s="135" t="s">
        <v>48</v>
      </c>
      <c r="C23" s="13" t="s">
        <v>50</v>
      </c>
      <c r="D23" s="1" t="s">
        <v>64</v>
      </c>
      <c r="E23" s="13" t="s">
        <v>106</v>
      </c>
      <c r="F23" s="254">
        <v>1</v>
      </c>
      <c r="G23" s="246" t="s">
        <v>361</v>
      </c>
    </row>
    <row r="24" spans="1:7" x14ac:dyDescent="0.35">
      <c r="A24" s="121" t="s">
        <v>78</v>
      </c>
      <c r="B24" s="135" t="s">
        <v>53</v>
      </c>
      <c r="C24" s="13" t="s">
        <v>71</v>
      </c>
      <c r="D24" s="3" t="s">
        <v>64</v>
      </c>
      <c r="E24" s="13" t="s">
        <v>106</v>
      </c>
      <c r="F24" s="254">
        <v>3</v>
      </c>
      <c r="G24" s="246" t="s">
        <v>357</v>
      </c>
    </row>
    <row r="25" spans="1:7" x14ac:dyDescent="0.35">
      <c r="A25" s="121" t="s">
        <v>133</v>
      </c>
      <c r="B25" s="135" t="s">
        <v>48</v>
      </c>
      <c r="C25" s="13" t="s">
        <v>47</v>
      </c>
      <c r="D25" s="1" t="s">
        <v>171</v>
      </c>
      <c r="E25" s="13" t="s">
        <v>366</v>
      </c>
      <c r="F25" s="257" t="s">
        <v>190</v>
      </c>
      <c r="G25" s="246" t="s">
        <v>51</v>
      </c>
    </row>
    <row r="26" spans="1:7" x14ac:dyDescent="0.35">
      <c r="A26" s="121" t="s">
        <v>66</v>
      </c>
      <c r="B26" s="135" t="s">
        <v>48</v>
      </c>
      <c r="C26" s="13" t="s">
        <v>54</v>
      </c>
      <c r="D26" s="3" t="s">
        <v>171</v>
      </c>
      <c r="E26" s="13" t="s">
        <v>102</v>
      </c>
      <c r="F26" s="254">
        <v>1</v>
      </c>
      <c r="G26" s="246" t="s">
        <v>360</v>
      </c>
    </row>
    <row r="27" spans="1:7" x14ac:dyDescent="0.35">
      <c r="A27" s="121" t="s">
        <v>132</v>
      </c>
      <c r="B27" s="135" t="s">
        <v>49</v>
      </c>
      <c r="C27" s="14" t="s">
        <v>54</v>
      </c>
      <c r="D27" s="1" t="s">
        <v>64</v>
      </c>
      <c r="E27" s="13" t="s">
        <v>106</v>
      </c>
      <c r="F27" s="257" t="s">
        <v>190</v>
      </c>
      <c r="G27" s="248" t="s">
        <v>51</v>
      </c>
    </row>
    <row r="28" spans="1:7" x14ac:dyDescent="0.35">
      <c r="A28" s="121" t="s">
        <v>134</v>
      </c>
      <c r="B28" s="135" t="s">
        <v>108</v>
      </c>
      <c r="C28" s="13" t="s">
        <v>73</v>
      </c>
      <c r="D28" s="1" t="s">
        <v>100</v>
      </c>
      <c r="E28" s="13" t="s">
        <v>106</v>
      </c>
      <c r="F28" s="254">
        <v>3</v>
      </c>
      <c r="G28" s="246" t="s">
        <v>359</v>
      </c>
    </row>
    <row r="29" spans="1:7" x14ac:dyDescent="0.35">
      <c r="A29" s="121" t="s">
        <v>268</v>
      </c>
      <c r="B29" s="135" t="s">
        <v>48</v>
      </c>
      <c r="C29" s="13" t="s">
        <v>47</v>
      </c>
      <c r="D29" s="1" t="s">
        <v>51</v>
      </c>
      <c r="E29" s="13" t="s">
        <v>106</v>
      </c>
      <c r="F29" s="257" t="s">
        <v>190</v>
      </c>
      <c r="G29" s="248" t="s">
        <v>64</v>
      </c>
    </row>
    <row r="30" spans="1:7" x14ac:dyDescent="0.35">
      <c r="A30" s="122" t="s">
        <v>340</v>
      </c>
      <c r="B30" s="135" t="s">
        <v>48</v>
      </c>
      <c r="C30" s="14" t="s">
        <v>54</v>
      </c>
      <c r="D30" s="1" t="s">
        <v>51</v>
      </c>
      <c r="E30" s="13" t="s">
        <v>106</v>
      </c>
      <c r="F30" s="257" t="s">
        <v>190</v>
      </c>
      <c r="G30" s="247" t="s">
        <v>51</v>
      </c>
    </row>
    <row r="31" spans="1:7" x14ac:dyDescent="0.35">
      <c r="A31" s="122" t="s">
        <v>94</v>
      </c>
      <c r="B31" s="135" t="s">
        <v>48</v>
      </c>
      <c r="C31" s="14" t="s">
        <v>54</v>
      </c>
      <c r="D31" s="1" t="s">
        <v>51</v>
      </c>
      <c r="E31" s="13" t="s">
        <v>106</v>
      </c>
      <c r="F31" s="257" t="s">
        <v>190</v>
      </c>
      <c r="G31" s="247" t="s">
        <v>51</v>
      </c>
    </row>
    <row r="32" spans="1:7" x14ac:dyDescent="0.35">
      <c r="A32" s="121" t="s">
        <v>336</v>
      </c>
      <c r="B32" s="135" t="s">
        <v>271</v>
      </c>
      <c r="C32" s="13" t="s">
        <v>47</v>
      </c>
      <c r="D32" s="1" t="s">
        <v>368</v>
      </c>
      <c r="E32" s="14" t="s">
        <v>365</v>
      </c>
      <c r="F32" s="257">
        <v>1</v>
      </c>
      <c r="G32" s="246" t="s">
        <v>51</v>
      </c>
    </row>
    <row r="33" spans="1:7" x14ac:dyDescent="0.35">
      <c r="A33" s="121" t="s">
        <v>185</v>
      </c>
      <c r="B33" s="135" t="s">
        <v>48</v>
      </c>
      <c r="C33" s="13" t="s">
        <v>54</v>
      </c>
      <c r="D33" s="1" t="s">
        <v>51</v>
      </c>
      <c r="E33" s="13" t="s">
        <v>106</v>
      </c>
      <c r="F33" s="257" t="s">
        <v>190</v>
      </c>
      <c r="G33" s="246" t="s">
        <v>51</v>
      </c>
    </row>
    <row r="34" spans="1:7" x14ac:dyDescent="0.35">
      <c r="A34" s="122" t="s">
        <v>29</v>
      </c>
      <c r="B34" s="134" t="s">
        <v>48</v>
      </c>
      <c r="C34" s="14" t="s">
        <v>54</v>
      </c>
      <c r="D34" s="3" t="s">
        <v>51</v>
      </c>
      <c r="E34" s="14" t="s">
        <v>106</v>
      </c>
      <c r="F34" s="257" t="s">
        <v>190</v>
      </c>
      <c r="G34" s="247" t="s">
        <v>51</v>
      </c>
    </row>
    <row r="35" spans="1:7" x14ac:dyDescent="0.35">
      <c r="A35" s="122" t="s">
        <v>30</v>
      </c>
      <c r="B35" s="134" t="s">
        <v>48</v>
      </c>
      <c r="C35" s="14" t="s">
        <v>54</v>
      </c>
      <c r="D35" s="3" t="s">
        <v>51</v>
      </c>
      <c r="E35" s="14" t="s">
        <v>106</v>
      </c>
      <c r="F35" s="257" t="s">
        <v>190</v>
      </c>
      <c r="G35" s="247" t="s">
        <v>51</v>
      </c>
    </row>
    <row r="36" spans="1:7" x14ac:dyDescent="0.35">
      <c r="A36" s="122" t="s">
        <v>95</v>
      </c>
      <c r="B36" s="135" t="s">
        <v>48</v>
      </c>
      <c r="C36" s="14" t="s">
        <v>54</v>
      </c>
      <c r="D36" s="4" t="s">
        <v>103</v>
      </c>
      <c r="E36" s="13" t="s">
        <v>104</v>
      </c>
      <c r="F36" s="257" t="s">
        <v>190</v>
      </c>
      <c r="G36" s="249" t="s">
        <v>64</v>
      </c>
    </row>
    <row r="37" spans="1:7" x14ac:dyDescent="0.35">
      <c r="A37" s="121" t="s">
        <v>376</v>
      </c>
      <c r="B37" s="135" t="s">
        <v>48</v>
      </c>
      <c r="C37" s="13" t="s">
        <v>47</v>
      </c>
      <c r="D37" s="1" t="s">
        <v>51</v>
      </c>
      <c r="E37" s="13" t="s">
        <v>106</v>
      </c>
      <c r="F37" s="257" t="s">
        <v>190</v>
      </c>
      <c r="G37" s="246" t="s">
        <v>51</v>
      </c>
    </row>
    <row r="38" spans="1:7" x14ac:dyDescent="0.35">
      <c r="A38" s="121" t="s">
        <v>67</v>
      </c>
      <c r="B38" s="135" t="s">
        <v>48</v>
      </c>
      <c r="C38" s="13" t="s">
        <v>54</v>
      </c>
      <c r="D38" s="1" t="s">
        <v>51</v>
      </c>
      <c r="E38" s="13" t="s">
        <v>106</v>
      </c>
      <c r="F38" s="257" t="s">
        <v>190</v>
      </c>
      <c r="G38" s="246" t="s">
        <v>51</v>
      </c>
    </row>
    <row r="39" spans="1:7" x14ac:dyDescent="0.35">
      <c r="A39" s="121" t="s">
        <v>212</v>
      </c>
      <c r="B39" s="135" t="s">
        <v>48</v>
      </c>
      <c r="C39" s="13" t="s">
        <v>54</v>
      </c>
      <c r="D39" s="1" t="s">
        <v>51</v>
      </c>
      <c r="E39" s="13" t="s">
        <v>106</v>
      </c>
      <c r="F39" s="257" t="s">
        <v>190</v>
      </c>
      <c r="G39" s="246" t="s">
        <v>51</v>
      </c>
    </row>
    <row r="40" spans="1:7" s="210" customFormat="1" x14ac:dyDescent="0.35">
      <c r="A40" s="120" t="s">
        <v>324</v>
      </c>
      <c r="B40" s="132" t="s">
        <v>48</v>
      </c>
      <c r="C40" s="117" t="s">
        <v>54</v>
      </c>
      <c r="D40" s="118" t="s">
        <v>51</v>
      </c>
      <c r="E40" s="117" t="s">
        <v>106</v>
      </c>
      <c r="F40" s="257" t="s">
        <v>190</v>
      </c>
      <c r="G40" s="216" t="s">
        <v>51</v>
      </c>
    </row>
    <row r="41" spans="1:7" x14ac:dyDescent="0.35">
      <c r="A41" s="121" t="s">
        <v>213</v>
      </c>
      <c r="B41" s="135" t="s">
        <v>48</v>
      </c>
      <c r="C41" s="13" t="s">
        <v>54</v>
      </c>
      <c r="D41" s="1" t="s">
        <v>51</v>
      </c>
      <c r="E41" s="13" t="s">
        <v>106</v>
      </c>
      <c r="F41" s="257" t="s">
        <v>190</v>
      </c>
      <c r="G41" s="246" t="s">
        <v>51</v>
      </c>
    </row>
    <row r="42" spans="1:7" x14ac:dyDescent="0.35">
      <c r="A42" s="121" t="s">
        <v>335</v>
      </c>
      <c r="B42" s="135" t="s">
        <v>190</v>
      </c>
      <c r="C42" s="13" t="s">
        <v>191</v>
      </c>
      <c r="D42" s="1" t="s">
        <v>191</v>
      </c>
      <c r="E42" s="13" t="s">
        <v>106</v>
      </c>
      <c r="F42" s="257" t="s">
        <v>190</v>
      </c>
      <c r="G42" s="246" t="s">
        <v>51</v>
      </c>
    </row>
    <row r="43" spans="1:7" x14ac:dyDescent="0.35">
      <c r="A43" s="121" t="s">
        <v>352</v>
      </c>
      <c r="B43" s="135" t="s">
        <v>48</v>
      </c>
      <c r="C43" s="13" t="s">
        <v>47</v>
      </c>
      <c r="D43" s="1" t="s">
        <v>51</v>
      </c>
      <c r="E43" s="13" t="s">
        <v>106</v>
      </c>
      <c r="F43" s="257" t="s">
        <v>190</v>
      </c>
      <c r="G43" s="246" t="s">
        <v>51</v>
      </c>
    </row>
    <row r="44" spans="1:7" x14ac:dyDescent="0.35">
      <c r="A44" s="121" t="s">
        <v>373</v>
      </c>
      <c r="B44" s="135" t="s">
        <v>48</v>
      </c>
      <c r="C44" s="13" t="s">
        <v>47</v>
      </c>
      <c r="D44" s="1" t="s">
        <v>51</v>
      </c>
      <c r="E44" s="13" t="s">
        <v>106</v>
      </c>
      <c r="F44" s="257" t="s">
        <v>190</v>
      </c>
      <c r="G44" s="246" t="s">
        <v>51</v>
      </c>
    </row>
    <row r="45" spans="1:7" x14ac:dyDescent="0.35">
      <c r="A45" s="121" t="s">
        <v>135</v>
      </c>
      <c r="B45" s="135" t="s">
        <v>48</v>
      </c>
      <c r="C45" s="13" t="s">
        <v>50</v>
      </c>
      <c r="D45" s="1" t="s">
        <v>51</v>
      </c>
      <c r="E45" s="13" t="s">
        <v>106</v>
      </c>
      <c r="F45" s="257" t="s">
        <v>190</v>
      </c>
      <c r="G45" s="246" t="s">
        <v>51</v>
      </c>
    </row>
    <row r="46" spans="1:7" x14ac:dyDescent="0.35">
      <c r="A46" s="121" t="s">
        <v>136</v>
      </c>
      <c r="B46" s="135" t="s">
        <v>48</v>
      </c>
      <c r="C46" s="13" t="s">
        <v>47</v>
      </c>
      <c r="D46" s="1" t="s">
        <v>51</v>
      </c>
      <c r="E46" s="13" t="s">
        <v>106</v>
      </c>
      <c r="F46" s="257" t="s">
        <v>190</v>
      </c>
      <c r="G46" s="246" t="s">
        <v>51</v>
      </c>
    </row>
    <row r="47" spans="1:7" x14ac:dyDescent="0.35">
      <c r="A47" s="121" t="s">
        <v>173</v>
      </c>
      <c r="B47" s="135" t="s">
        <v>48</v>
      </c>
      <c r="C47" s="13" t="s">
        <v>47</v>
      </c>
      <c r="D47" s="1" t="s">
        <v>51</v>
      </c>
      <c r="E47" s="13" t="s">
        <v>106</v>
      </c>
      <c r="F47" s="257" t="s">
        <v>190</v>
      </c>
      <c r="G47" s="248" t="s">
        <v>64</v>
      </c>
    </row>
    <row r="48" spans="1:7" x14ac:dyDescent="0.35">
      <c r="A48" s="121" t="s">
        <v>304</v>
      </c>
      <c r="B48" s="135" t="s">
        <v>271</v>
      </c>
      <c r="C48" s="13" t="s">
        <v>47</v>
      </c>
      <c r="D48" s="1" t="s">
        <v>368</v>
      </c>
      <c r="E48" s="13" t="s">
        <v>365</v>
      </c>
      <c r="F48" s="254">
        <v>1</v>
      </c>
      <c r="G48" s="246" t="s">
        <v>361</v>
      </c>
    </row>
    <row r="49" spans="1:7" x14ac:dyDescent="0.35">
      <c r="A49" s="121" t="s">
        <v>170</v>
      </c>
      <c r="B49" s="135" t="s">
        <v>271</v>
      </c>
      <c r="C49" s="13" t="s">
        <v>47</v>
      </c>
      <c r="D49" s="1" t="s">
        <v>368</v>
      </c>
      <c r="E49" s="13" t="s">
        <v>365</v>
      </c>
      <c r="F49" s="254">
        <v>1</v>
      </c>
      <c r="G49" s="246" t="s">
        <v>361</v>
      </c>
    </row>
    <row r="50" spans="1:7" x14ac:dyDescent="0.35">
      <c r="A50" s="121" t="s">
        <v>169</v>
      </c>
      <c r="B50" s="135" t="s">
        <v>48</v>
      </c>
      <c r="C50" s="13" t="s">
        <v>50</v>
      </c>
      <c r="D50" s="1" t="s">
        <v>64</v>
      </c>
      <c r="E50" s="13" t="s">
        <v>106</v>
      </c>
      <c r="F50" s="257" t="s">
        <v>190</v>
      </c>
      <c r="G50" s="246" t="s">
        <v>51</v>
      </c>
    </row>
    <row r="51" spans="1:7" x14ac:dyDescent="0.35">
      <c r="A51" s="121" t="s">
        <v>193</v>
      </c>
      <c r="B51" s="135" t="s">
        <v>49</v>
      </c>
      <c r="C51" s="13" t="s">
        <v>50</v>
      </c>
      <c r="D51" s="1" t="s">
        <v>292</v>
      </c>
      <c r="E51" s="13" t="s">
        <v>106</v>
      </c>
      <c r="F51" s="254">
        <v>1</v>
      </c>
      <c r="G51" s="246" t="s">
        <v>362</v>
      </c>
    </row>
    <row r="52" spans="1:7" x14ac:dyDescent="0.35">
      <c r="A52" s="123" t="s">
        <v>137</v>
      </c>
      <c r="B52" s="135" t="s">
        <v>49</v>
      </c>
      <c r="C52" s="13" t="s">
        <v>50</v>
      </c>
      <c r="D52" s="1" t="s">
        <v>292</v>
      </c>
      <c r="E52" s="13" t="s">
        <v>106</v>
      </c>
      <c r="F52" s="254">
        <v>1</v>
      </c>
      <c r="G52" s="246" t="s">
        <v>362</v>
      </c>
    </row>
    <row r="53" spans="1:7" x14ac:dyDescent="0.35">
      <c r="A53" s="121" t="s">
        <v>138</v>
      </c>
      <c r="B53" s="135" t="s">
        <v>49</v>
      </c>
      <c r="C53" s="13" t="s">
        <v>50</v>
      </c>
      <c r="D53" s="1" t="s">
        <v>292</v>
      </c>
      <c r="E53" s="13" t="s">
        <v>106</v>
      </c>
      <c r="F53" s="254">
        <v>1</v>
      </c>
      <c r="G53" s="246" t="s">
        <v>362</v>
      </c>
    </row>
    <row r="54" spans="1:7" x14ac:dyDescent="0.35">
      <c r="A54" s="124" t="s">
        <v>96</v>
      </c>
      <c r="B54" s="135" t="s">
        <v>311</v>
      </c>
      <c r="C54" s="13" t="s">
        <v>50</v>
      </c>
      <c r="D54" s="1" t="s">
        <v>292</v>
      </c>
      <c r="E54" s="13" t="s">
        <v>106</v>
      </c>
      <c r="F54" s="254">
        <v>1</v>
      </c>
      <c r="G54" s="246" t="s">
        <v>362</v>
      </c>
    </row>
    <row r="55" spans="1:7" x14ac:dyDescent="0.35">
      <c r="A55" s="121" t="s">
        <v>55</v>
      </c>
      <c r="B55" s="135" t="s">
        <v>311</v>
      </c>
      <c r="C55" s="13" t="s">
        <v>50</v>
      </c>
      <c r="D55" s="1" t="s">
        <v>292</v>
      </c>
      <c r="E55" s="13" t="s">
        <v>106</v>
      </c>
      <c r="F55" s="254">
        <v>1</v>
      </c>
      <c r="G55" s="246" t="s">
        <v>362</v>
      </c>
    </row>
    <row r="56" spans="1:7" x14ac:dyDescent="0.35">
      <c r="A56" s="121" t="s">
        <v>313</v>
      </c>
      <c r="B56" s="135" t="s">
        <v>314</v>
      </c>
      <c r="C56" s="13" t="s">
        <v>235</v>
      </c>
      <c r="D56" s="1" t="s">
        <v>51</v>
      </c>
      <c r="E56" s="13" t="s">
        <v>106</v>
      </c>
      <c r="F56" s="257" t="s">
        <v>190</v>
      </c>
      <c r="G56" s="246" t="s">
        <v>51</v>
      </c>
    </row>
    <row r="57" spans="1:7" x14ac:dyDescent="0.35">
      <c r="A57" s="121" t="s">
        <v>355</v>
      </c>
      <c r="B57" s="135" t="s">
        <v>311</v>
      </c>
      <c r="C57" s="13" t="s">
        <v>50</v>
      </c>
      <c r="D57" s="1" t="s">
        <v>292</v>
      </c>
      <c r="E57" s="13" t="s">
        <v>106</v>
      </c>
      <c r="F57" s="254">
        <v>1</v>
      </c>
      <c r="G57" s="246" t="s">
        <v>362</v>
      </c>
    </row>
    <row r="58" spans="1:7" x14ac:dyDescent="0.35">
      <c r="A58" s="123" t="s">
        <v>269</v>
      </c>
      <c r="B58" s="135" t="s">
        <v>311</v>
      </c>
      <c r="C58" s="13" t="s">
        <v>50</v>
      </c>
      <c r="D58" s="1" t="s">
        <v>292</v>
      </c>
      <c r="E58" s="13" t="s">
        <v>106</v>
      </c>
      <c r="F58" s="254">
        <v>1</v>
      </c>
      <c r="G58" s="246" t="s">
        <v>362</v>
      </c>
    </row>
    <row r="59" spans="1:7" x14ac:dyDescent="0.35">
      <c r="A59" s="121" t="s">
        <v>187</v>
      </c>
      <c r="B59" s="135" t="s">
        <v>49</v>
      </c>
      <c r="C59" s="13" t="s">
        <v>54</v>
      </c>
      <c r="D59" s="1" t="s">
        <v>292</v>
      </c>
      <c r="E59" s="13" t="s">
        <v>106</v>
      </c>
      <c r="F59" s="257" t="s">
        <v>190</v>
      </c>
      <c r="G59" s="246" t="s">
        <v>64</v>
      </c>
    </row>
    <row r="60" spans="1:7" x14ac:dyDescent="0.35">
      <c r="A60" s="121" t="s">
        <v>315</v>
      </c>
      <c r="B60" s="135" t="s">
        <v>314</v>
      </c>
      <c r="C60" s="13" t="s">
        <v>235</v>
      </c>
      <c r="D60" s="1" t="s">
        <v>51</v>
      </c>
      <c r="E60" s="13" t="s">
        <v>106</v>
      </c>
      <c r="F60" s="257" t="s">
        <v>190</v>
      </c>
      <c r="G60" s="246" t="s">
        <v>51</v>
      </c>
    </row>
    <row r="61" spans="1:7" x14ac:dyDescent="0.35">
      <c r="A61" s="121" t="s">
        <v>139</v>
      </c>
      <c r="B61" s="135" t="s">
        <v>49</v>
      </c>
      <c r="C61" s="13" t="s">
        <v>50</v>
      </c>
      <c r="D61" s="1" t="s">
        <v>292</v>
      </c>
      <c r="E61" s="13" t="s">
        <v>106</v>
      </c>
      <c r="F61" s="257" t="s">
        <v>190</v>
      </c>
      <c r="G61" s="246" t="s">
        <v>51</v>
      </c>
    </row>
    <row r="62" spans="1:7" x14ac:dyDescent="0.35">
      <c r="A62" s="123" t="s">
        <v>194</v>
      </c>
      <c r="B62" s="135" t="s">
        <v>49</v>
      </c>
      <c r="C62" s="13" t="s">
        <v>50</v>
      </c>
      <c r="D62" s="1" t="s">
        <v>292</v>
      </c>
      <c r="E62" s="13" t="s">
        <v>106</v>
      </c>
      <c r="F62" s="254">
        <v>1</v>
      </c>
      <c r="G62" s="246" t="s">
        <v>362</v>
      </c>
    </row>
    <row r="63" spans="1:7" x14ac:dyDescent="0.35">
      <c r="A63" s="121" t="s">
        <v>186</v>
      </c>
      <c r="B63" s="135" t="s">
        <v>49</v>
      </c>
      <c r="C63" s="13" t="s">
        <v>54</v>
      </c>
      <c r="D63" s="1" t="s">
        <v>292</v>
      </c>
      <c r="E63" s="13" t="s">
        <v>106</v>
      </c>
      <c r="F63" s="257" t="s">
        <v>190</v>
      </c>
      <c r="G63" s="246" t="s">
        <v>64</v>
      </c>
    </row>
    <row r="64" spans="1:7" x14ac:dyDescent="0.35">
      <c r="A64" s="123" t="s">
        <v>183</v>
      </c>
      <c r="B64" s="135" t="s">
        <v>49</v>
      </c>
      <c r="C64" s="13" t="s">
        <v>54</v>
      </c>
      <c r="D64" s="1" t="s">
        <v>292</v>
      </c>
      <c r="E64" s="13" t="s">
        <v>106</v>
      </c>
      <c r="F64" s="257" t="s">
        <v>190</v>
      </c>
      <c r="G64" s="246" t="s">
        <v>64</v>
      </c>
    </row>
    <row r="65" spans="1:7" x14ac:dyDescent="0.35">
      <c r="A65" s="121" t="s">
        <v>31</v>
      </c>
      <c r="B65" s="135" t="s">
        <v>271</v>
      </c>
      <c r="C65" s="13" t="s">
        <v>54</v>
      </c>
      <c r="D65" s="1" t="s">
        <v>51</v>
      </c>
      <c r="E65" s="13" t="s">
        <v>106</v>
      </c>
      <c r="F65" s="257" t="s">
        <v>190</v>
      </c>
      <c r="G65" s="246" t="s">
        <v>51</v>
      </c>
    </row>
    <row r="66" spans="1:7" x14ac:dyDescent="0.35">
      <c r="A66" s="121" t="s">
        <v>35</v>
      </c>
      <c r="B66" s="135" t="s">
        <v>48</v>
      </c>
      <c r="C66" s="13" t="s">
        <v>50</v>
      </c>
      <c r="D66" s="1" t="s">
        <v>51</v>
      </c>
      <c r="E66" s="13" t="s">
        <v>106</v>
      </c>
      <c r="F66" s="257" t="s">
        <v>190</v>
      </c>
      <c r="G66" s="246" t="s">
        <v>51</v>
      </c>
    </row>
    <row r="67" spans="1:7" x14ac:dyDescent="0.35">
      <c r="A67" s="121" t="s">
        <v>270</v>
      </c>
      <c r="B67" s="135" t="s">
        <v>271</v>
      </c>
      <c r="C67" s="13" t="s">
        <v>50</v>
      </c>
      <c r="D67" s="1" t="s">
        <v>51</v>
      </c>
      <c r="E67" s="13" t="s">
        <v>106</v>
      </c>
      <c r="F67" s="257" t="s">
        <v>190</v>
      </c>
      <c r="G67" s="246" t="s">
        <v>51</v>
      </c>
    </row>
    <row r="68" spans="1:7" x14ac:dyDescent="0.35">
      <c r="A68" s="121" t="s">
        <v>140</v>
      </c>
      <c r="B68" s="135" t="s">
        <v>48</v>
      </c>
      <c r="C68" s="13" t="s">
        <v>68</v>
      </c>
      <c r="D68" s="1" t="s">
        <v>72</v>
      </c>
      <c r="E68" s="13" t="s">
        <v>106</v>
      </c>
      <c r="F68" s="257" t="s">
        <v>190</v>
      </c>
      <c r="G68" s="246" t="s">
        <v>51</v>
      </c>
    </row>
    <row r="69" spans="1:7" x14ac:dyDescent="0.35">
      <c r="A69" s="120" t="s">
        <v>140</v>
      </c>
      <c r="B69" s="132" t="s">
        <v>190</v>
      </c>
      <c r="C69" s="117" t="s">
        <v>191</v>
      </c>
      <c r="D69" s="118" t="s">
        <v>191</v>
      </c>
      <c r="E69" s="117" t="s">
        <v>106</v>
      </c>
      <c r="F69" s="257" t="s">
        <v>190</v>
      </c>
      <c r="G69" s="216" t="s">
        <v>51</v>
      </c>
    </row>
    <row r="70" spans="1:7" x14ac:dyDescent="0.35">
      <c r="A70" s="121" t="s">
        <v>141</v>
      </c>
      <c r="B70" s="135" t="s">
        <v>48</v>
      </c>
      <c r="C70" s="13" t="s">
        <v>50</v>
      </c>
      <c r="D70" s="1" t="s">
        <v>51</v>
      </c>
      <c r="E70" s="13" t="s">
        <v>106</v>
      </c>
      <c r="F70" s="257" t="s">
        <v>190</v>
      </c>
      <c r="G70" s="246" t="s">
        <v>51</v>
      </c>
    </row>
    <row r="71" spans="1:7" x14ac:dyDescent="0.35">
      <c r="A71" s="121" t="s">
        <v>142</v>
      </c>
      <c r="B71" s="135" t="s">
        <v>108</v>
      </c>
      <c r="C71" s="13" t="s">
        <v>73</v>
      </c>
      <c r="D71" s="1" t="s">
        <v>100</v>
      </c>
      <c r="E71" s="13" t="s">
        <v>106</v>
      </c>
      <c r="F71" s="254">
        <v>3</v>
      </c>
      <c r="G71" s="246" t="s">
        <v>359</v>
      </c>
    </row>
    <row r="72" spans="1:7" x14ac:dyDescent="0.35">
      <c r="A72" s="121" t="s">
        <v>143</v>
      </c>
      <c r="B72" s="205" t="s">
        <v>48</v>
      </c>
      <c r="C72" s="206" t="s">
        <v>50</v>
      </c>
      <c r="D72" s="1" t="s">
        <v>107</v>
      </c>
      <c r="E72" s="13" t="s">
        <v>102</v>
      </c>
      <c r="F72" s="257" t="s">
        <v>190</v>
      </c>
      <c r="G72" s="246" t="s">
        <v>51</v>
      </c>
    </row>
    <row r="73" spans="1:7" x14ac:dyDescent="0.35">
      <c r="A73" s="121" t="s">
        <v>32</v>
      </c>
      <c r="B73" s="135" t="s">
        <v>48</v>
      </c>
      <c r="C73" s="13" t="s">
        <v>50</v>
      </c>
      <c r="D73" s="1"/>
      <c r="E73" s="13" t="s">
        <v>106</v>
      </c>
      <c r="F73" s="254" t="s">
        <v>190</v>
      </c>
      <c r="G73" s="246" t="s">
        <v>51</v>
      </c>
    </row>
    <row r="74" spans="1:7" x14ac:dyDescent="0.35">
      <c r="A74" s="121" t="s">
        <v>144</v>
      </c>
      <c r="B74" s="135" t="s">
        <v>48</v>
      </c>
      <c r="C74" s="13" t="s">
        <v>50</v>
      </c>
      <c r="D74" s="1" t="s">
        <v>64</v>
      </c>
      <c r="E74" s="13" t="s">
        <v>106</v>
      </c>
      <c r="F74" s="257" t="s">
        <v>190</v>
      </c>
      <c r="G74" s="246" t="s">
        <v>51</v>
      </c>
    </row>
    <row r="75" spans="1:7" x14ac:dyDescent="0.35">
      <c r="A75" s="121" t="s">
        <v>145</v>
      </c>
      <c r="B75" s="135" t="s">
        <v>48</v>
      </c>
      <c r="C75" s="13" t="s">
        <v>47</v>
      </c>
      <c r="D75" s="1" t="s">
        <v>100</v>
      </c>
      <c r="E75" s="13" t="s">
        <v>106</v>
      </c>
      <c r="F75" s="254">
        <v>1</v>
      </c>
      <c r="G75" s="246" t="s">
        <v>361</v>
      </c>
    </row>
    <row r="76" spans="1:7" x14ac:dyDescent="0.35">
      <c r="A76" s="121" t="s">
        <v>305</v>
      </c>
      <c r="B76" s="135" t="s">
        <v>48</v>
      </c>
      <c r="C76" s="13" t="s">
        <v>68</v>
      </c>
      <c r="D76" s="1" t="s">
        <v>171</v>
      </c>
      <c r="E76" s="13" t="s">
        <v>306</v>
      </c>
      <c r="F76" s="257" t="s">
        <v>190</v>
      </c>
      <c r="G76" s="246" t="s">
        <v>51</v>
      </c>
    </row>
    <row r="77" spans="1:7" x14ac:dyDescent="0.35">
      <c r="A77" s="121" t="s">
        <v>272</v>
      </c>
      <c r="B77" s="135" t="s">
        <v>48</v>
      </c>
      <c r="C77" s="13" t="s">
        <v>47</v>
      </c>
      <c r="D77" s="1" t="s">
        <v>51</v>
      </c>
      <c r="E77" s="13" t="s">
        <v>106</v>
      </c>
      <c r="F77" s="254">
        <v>1</v>
      </c>
      <c r="G77" s="246" t="s">
        <v>361</v>
      </c>
    </row>
    <row r="78" spans="1:7" x14ac:dyDescent="0.35">
      <c r="A78" s="121" t="s">
        <v>97</v>
      </c>
      <c r="B78" s="135" t="s">
        <v>48</v>
      </c>
      <c r="C78" s="13" t="s">
        <v>50</v>
      </c>
      <c r="D78" s="1" t="s">
        <v>172</v>
      </c>
      <c r="E78" s="13" t="s">
        <v>102</v>
      </c>
      <c r="F78" s="257" t="s">
        <v>190</v>
      </c>
      <c r="G78" s="246" t="s">
        <v>51</v>
      </c>
    </row>
    <row r="79" spans="1:7" x14ac:dyDescent="0.35">
      <c r="A79" s="121" t="s">
        <v>386</v>
      </c>
      <c r="B79" s="135" t="s">
        <v>48</v>
      </c>
      <c r="C79" s="13" t="s">
        <v>50</v>
      </c>
      <c r="D79" s="1" t="s">
        <v>172</v>
      </c>
      <c r="E79" s="13" t="s">
        <v>102</v>
      </c>
      <c r="F79" s="257" t="s">
        <v>190</v>
      </c>
      <c r="G79" s="248" t="s">
        <v>64</v>
      </c>
    </row>
    <row r="80" spans="1:7" x14ac:dyDescent="0.35">
      <c r="A80" s="121" t="s">
        <v>184</v>
      </c>
      <c r="B80" s="135" t="s">
        <v>48</v>
      </c>
      <c r="C80" s="13" t="s">
        <v>54</v>
      </c>
      <c r="D80" s="1" t="s">
        <v>64</v>
      </c>
      <c r="E80" s="13" t="s">
        <v>106</v>
      </c>
      <c r="F80" s="257" t="s">
        <v>190</v>
      </c>
      <c r="G80" s="246" t="s">
        <v>64</v>
      </c>
    </row>
    <row r="81" spans="1:7" x14ac:dyDescent="0.35">
      <c r="A81" s="121" t="s">
        <v>273</v>
      </c>
      <c r="B81" s="135" t="s">
        <v>49</v>
      </c>
      <c r="C81" s="13" t="s">
        <v>274</v>
      </c>
      <c r="D81" s="1" t="s">
        <v>64</v>
      </c>
      <c r="E81" s="13" t="s">
        <v>106</v>
      </c>
      <c r="F81" s="257" t="s">
        <v>190</v>
      </c>
      <c r="G81" s="246" t="s">
        <v>51</v>
      </c>
    </row>
    <row r="82" spans="1:7" x14ac:dyDescent="0.35">
      <c r="A82" s="124" t="s">
        <v>273</v>
      </c>
      <c r="B82" s="135" t="s">
        <v>49</v>
      </c>
      <c r="C82" s="13">
        <v>250</v>
      </c>
      <c r="D82" s="1" t="s">
        <v>292</v>
      </c>
      <c r="E82" s="13" t="s">
        <v>106</v>
      </c>
      <c r="F82" s="257" t="s">
        <v>190</v>
      </c>
      <c r="G82" s="246" t="s">
        <v>51</v>
      </c>
    </row>
    <row r="83" spans="1:7" x14ac:dyDescent="0.35">
      <c r="A83" s="121" t="s">
        <v>146</v>
      </c>
      <c r="B83" s="135" t="s">
        <v>49</v>
      </c>
      <c r="C83" s="13" t="s">
        <v>50</v>
      </c>
      <c r="D83" s="1" t="s">
        <v>64</v>
      </c>
      <c r="E83" s="13" t="s">
        <v>106</v>
      </c>
      <c r="F83" s="257" t="s">
        <v>190</v>
      </c>
      <c r="G83" s="246" t="s">
        <v>51</v>
      </c>
    </row>
    <row r="84" spans="1:7" x14ac:dyDescent="0.35">
      <c r="A84" s="120" t="s">
        <v>388</v>
      </c>
      <c r="B84" s="135" t="s">
        <v>49</v>
      </c>
      <c r="C84" s="13" t="s">
        <v>50</v>
      </c>
      <c r="D84" s="1" t="s">
        <v>64</v>
      </c>
      <c r="E84" s="13" t="s">
        <v>106</v>
      </c>
      <c r="F84" s="257" t="s">
        <v>190</v>
      </c>
      <c r="G84" s="246" t="s">
        <v>51</v>
      </c>
    </row>
    <row r="85" spans="1:7" x14ac:dyDescent="0.35">
      <c r="A85" s="121" t="s">
        <v>98</v>
      </c>
      <c r="B85" s="135" t="s">
        <v>108</v>
      </c>
      <c r="C85" s="13" t="s">
        <v>73</v>
      </c>
      <c r="D85" s="1" t="s">
        <v>100</v>
      </c>
      <c r="E85" s="13" t="s">
        <v>106</v>
      </c>
      <c r="F85" s="257" t="s">
        <v>190</v>
      </c>
      <c r="G85" s="246" t="s">
        <v>64</v>
      </c>
    </row>
    <row r="86" spans="1:7" x14ac:dyDescent="0.35">
      <c r="A86" s="121" t="s">
        <v>37</v>
      </c>
      <c r="B86" s="135" t="s">
        <v>53</v>
      </c>
      <c r="C86" s="13" t="s">
        <v>47</v>
      </c>
      <c r="D86" s="1" t="s">
        <v>171</v>
      </c>
      <c r="E86" s="13" t="s">
        <v>365</v>
      </c>
      <c r="F86" s="254">
        <v>2</v>
      </c>
      <c r="G86" s="246" t="s">
        <v>357</v>
      </c>
    </row>
    <row r="87" spans="1:7" x14ac:dyDescent="0.35">
      <c r="A87" s="121" t="s">
        <v>36</v>
      </c>
      <c r="B87" s="135" t="s">
        <v>48</v>
      </c>
      <c r="C87" s="13" t="s">
        <v>54</v>
      </c>
      <c r="D87" s="1" t="s">
        <v>51</v>
      </c>
      <c r="E87" s="13" t="s">
        <v>106</v>
      </c>
      <c r="F87" s="257" t="s">
        <v>190</v>
      </c>
      <c r="G87" s="246" t="s">
        <v>51</v>
      </c>
    </row>
    <row r="88" spans="1:7" x14ac:dyDescent="0.35">
      <c r="A88" s="121" t="s">
        <v>175</v>
      </c>
      <c r="B88" s="135" t="s">
        <v>48</v>
      </c>
      <c r="C88" s="13" t="s">
        <v>50</v>
      </c>
      <c r="D88" s="1" t="s">
        <v>51</v>
      </c>
      <c r="E88" s="13" t="s">
        <v>106</v>
      </c>
      <c r="F88" s="254">
        <v>1</v>
      </c>
      <c r="G88" s="246" t="s">
        <v>363</v>
      </c>
    </row>
    <row r="89" spans="1:7" x14ac:dyDescent="0.35">
      <c r="A89" s="121" t="s">
        <v>74</v>
      </c>
      <c r="B89" s="135" t="s">
        <v>108</v>
      </c>
      <c r="C89" s="13" t="s">
        <v>73</v>
      </c>
      <c r="D89" s="1" t="s">
        <v>100</v>
      </c>
      <c r="E89" s="13" t="s">
        <v>106</v>
      </c>
      <c r="F89" s="254">
        <v>3</v>
      </c>
      <c r="G89" s="246" t="s">
        <v>359</v>
      </c>
    </row>
    <row r="90" spans="1:7" x14ac:dyDescent="0.35">
      <c r="A90" s="121" t="s">
        <v>275</v>
      </c>
      <c r="B90" s="135" t="s">
        <v>48</v>
      </c>
      <c r="C90" s="13" t="s">
        <v>50</v>
      </c>
      <c r="D90" s="1" t="s">
        <v>64</v>
      </c>
      <c r="E90" s="13" t="s">
        <v>106</v>
      </c>
      <c r="F90" s="254">
        <v>1</v>
      </c>
      <c r="G90" s="246" t="s">
        <v>363</v>
      </c>
    </row>
    <row r="91" spans="1:7" x14ac:dyDescent="0.35">
      <c r="A91" s="121" t="s">
        <v>277</v>
      </c>
      <c r="B91" s="135" t="s">
        <v>48</v>
      </c>
      <c r="C91" s="16" t="s">
        <v>50</v>
      </c>
      <c r="D91" s="18" t="s">
        <v>171</v>
      </c>
      <c r="E91" s="13" t="s">
        <v>168</v>
      </c>
      <c r="F91" s="254">
        <v>1</v>
      </c>
      <c r="G91" s="250" t="s">
        <v>363</v>
      </c>
    </row>
    <row r="92" spans="1:7" x14ac:dyDescent="0.35">
      <c r="A92" s="121" t="s">
        <v>70</v>
      </c>
      <c r="B92" s="135" t="s">
        <v>49</v>
      </c>
      <c r="C92" s="13" t="s">
        <v>47</v>
      </c>
      <c r="D92" s="1" t="s">
        <v>52</v>
      </c>
      <c r="E92" s="13" t="s">
        <v>102</v>
      </c>
      <c r="F92" s="254">
        <v>2</v>
      </c>
      <c r="G92" s="246" t="s">
        <v>357</v>
      </c>
    </row>
    <row r="93" spans="1:7" x14ac:dyDescent="0.35">
      <c r="A93" s="121" t="s">
        <v>82</v>
      </c>
      <c r="B93" s="135" t="s">
        <v>53</v>
      </c>
      <c r="C93" s="13" t="s">
        <v>47</v>
      </c>
      <c r="D93" s="1" t="s">
        <v>64</v>
      </c>
      <c r="E93" s="13" t="s">
        <v>106</v>
      </c>
      <c r="F93" s="254">
        <v>3</v>
      </c>
      <c r="G93" s="246" t="s">
        <v>357</v>
      </c>
    </row>
    <row r="94" spans="1:7" x14ac:dyDescent="0.35">
      <c r="A94" s="121" t="s">
        <v>76</v>
      </c>
      <c r="B94" s="135" t="s">
        <v>108</v>
      </c>
      <c r="C94" s="13" t="s">
        <v>73</v>
      </c>
      <c r="D94" s="1" t="s">
        <v>100</v>
      </c>
      <c r="E94" s="13" t="s">
        <v>106</v>
      </c>
      <c r="F94" s="254">
        <v>2</v>
      </c>
      <c r="G94" s="246" t="s">
        <v>359</v>
      </c>
    </row>
    <row r="95" spans="1:7" x14ac:dyDescent="0.35">
      <c r="A95" s="120" t="s">
        <v>342</v>
      </c>
      <c r="B95" s="135" t="s">
        <v>53</v>
      </c>
      <c r="C95" s="13" t="s">
        <v>47</v>
      </c>
      <c r="D95" s="1" t="s">
        <v>64</v>
      </c>
      <c r="E95" s="13" t="s">
        <v>106</v>
      </c>
      <c r="F95" s="257" t="s">
        <v>190</v>
      </c>
      <c r="G95" s="246" t="s">
        <v>51</v>
      </c>
    </row>
    <row r="96" spans="1:7" x14ac:dyDescent="0.35">
      <c r="A96" s="121" t="s">
        <v>75</v>
      </c>
      <c r="B96" s="135" t="s">
        <v>53</v>
      </c>
      <c r="C96" s="13" t="s">
        <v>47</v>
      </c>
      <c r="D96" s="1" t="s">
        <v>64</v>
      </c>
      <c r="E96" s="13" t="s">
        <v>106</v>
      </c>
      <c r="F96" s="254">
        <v>2</v>
      </c>
      <c r="G96" s="246" t="s">
        <v>357</v>
      </c>
    </row>
    <row r="97" spans="1:7" x14ac:dyDescent="0.35">
      <c r="A97" s="121" t="s">
        <v>147</v>
      </c>
      <c r="B97" s="135" t="s">
        <v>53</v>
      </c>
      <c r="C97" s="13" t="s">
        <v>47</v>
      </c>
      <c r="D97" s="1" t="s">
        <v>64</v>
      </c>
      <c r="E97" s="13" t="s">
        <v>106</v>
      </c>
      <c r="F97" s="254">
        <v>3</v>
      </c>
      <c r="G97" s="246" t="s">
        <v>357</v>
      </c>
    </row>
    <row r="98" spans="1:7" x14ac:dyDescent="0.35">
      <c r="A98" s="121" t="s">
        <v>218</v>
      </c>
      <c r="B98" s="135" t="s">
        <v>48</v>
      </c>
      <c r="C98" s="13" t="s">
        <v>47</v>
      </c>
      <c r="D98" s="1" t="s">
        <v>51</v>
      </c>
      <c r="E98" s="13" t="s">
        <v>106</v>
      </c>
      <c r="F98" s="257" t="s">
        <v>190</v>
      </c>
      <c r="G98" s="246" t="s">
        <v>51</v>
      </c>
    </row>
    <row r="99" spans="1:7" x14ac:dyDescent="0.35">
      <c r="A99" s="121" t="s">
        <v>148</v>
      </c>
      <c r="B99" s="135" t="s">
        <v>48</v>
      </c>
      <c r="C99" s="13">
        <v>10</v>
      </c>
      <c r="D99" s="1" t="s">
        <v>51</v>
      </c>
      <c r="E99" s="13" t="s">
        <v>106</v>
      </c>
      <c r="F99" s="254">
        <f>IF(C99="1 Lt",1,IF(C99="4 Lt",4,10))</f>
        <v>10</v>
      </c>
      <c r="G99" s="246" t="s">
        <v>371</v>
      </c>
    </row>
    <row r="100" spans="1:7" x14ac:dyDescent="0.35">
      <c r="A100" s="121" t="s">
        <v>278</v>
      </c>
      <c r="B100" s="135" t="s">
        <v>48</v>
      </c>
      <c r="C100" s="13" t="s">
        <v>50</v>
      </c>
      <c r="D100" s="1" t="s">
        <v>172</v>
      </c>
      <c r="E100" s="13" t="s">
        <v>168</v>
      </c>
      <c r="F100" s="254">
        <v>1</v>
      </c>
      <c r="G100" s="246" t="s">
        <v>363</v>
      </c>
    </row>
    <row r="101" spans="1:7" x14ac:dyDescent="0.35">
      <c r="A101" s="121" t="s">
        <v>28</v>
      </c>
      <c r="B101" s="135" t="s">
        <v>48</v>
      </c>
      <c r="C101" s="16" t="s">
        <v>47</v>
      </c>
      <c r="D101" s="18" t="s">
        <v>172</v>
      </c>
      <c r="E101" s="13" t="s">
        <v>168</v>
      </c>
      <c r="F101" s="257" t="s">
        <v>190</v>
      </c>
      <c r="G101" s="250" t="s">
        <v>51</v>
      </c>
    </row>
    <row r="102" spans="1:7" x14ac:dyDescent="0.35">
      <c r="A102" s="121" t="s">
        <v>333</v>
      </c>
      <c r="B102" s="135" t="s">
        <v>48</v>
      </c>
      <c r="C102" s="13" t="s">
        <v>47</v>
      </c>
      <c r="D102" s="1" t="s">
        <v>172</v>
      </c>
      <c r="E102" s="13" t="s">
        <v>168</v>
      </c>
      <c r="F102" s="257" t="s">
        <v>190</v>
      </c>
      <c r="G102" s="250" t="s">
        <v>51</v>
      </c>
    </row>
    <row r="103" spans="1:7" x14ac:dyDescent="0.35">
      <c r="A103" s="121" t="s">
        <v>334</v>
      </c>
      <c r="B103" s="135" t="s">
        <v>48</v>
      </c>
      <c r="C103" s="13" t="s">
        <v>47</v>
      </c>
      <c r="D103" s="1" t="s">
        <v>172</v>
      </c>
      <c r="E103" s="13" t="s">
        <v>168</v>
      </c>
      <c r="F103" s="254">
        <v>1</v>
      </c>
      <c r="G103" s="251" t="s">
        <v>361</v>
      </c>
    </row>
    <row r="104" spans="1:7" x14ac:dyDescent="0.35">
      <c r="A104" s="121" t="s">
        <v>79</v>
      </c>
      <c r="B104" s="135" t="s">
        <v>53</v>
      </c>
      <c r="C104" s="17" t="s">
        <v>47</v>
      </c>
      <c r="D104" s="1" t="s">
        <v>64</v>
      </c>
      <c r="E104" s="13" t="s">
        <v>106</v>
      </c>
      <c r="F104" s="257" t="s">
        <v>190</v>
      </c>
      <c r="G104" s="251" t="s">
        <v>64</v>
      </c>
    </row>
    <row r="105" spans="1:7" x14ac:dyDescent="0.35">
      <c r="A105" s="201" t="s">
        <v>325</v>
      </c>
      <c r="B105" s="211" t="s">
        <v>48</v>
      </c>
      <c r="C105" s="211" t="s">
        <v>47</v>
      </c>
      <c r="D105" s="212" t="s">
        <v>51</v>
      </c>
      <c r="E105" s="241" t="s">
        <v>106</v>
      </c>
      <c r="F105" s="257" t="s">
        <v>190</v>
      </c>
      <c r="G105" s="252" t="s">
        <v>51</v>
      </c>
    </row>
    <row r="106" spans="1:7" x14ac:dyDescent="0.35">
      <c r="A106" s="120"/>
      <c r="B106" s="117"/>
      <c r="C106" s="117"/>
      <c r="D106" s="263"/>
      <c r="E106" s="264"/>
      <c r="F106" s="257"/>
      <c r="G106" s="120"/>
    </row>
    <row r="107" spans="1:7" x14ac:dyDescent="0.35">
      <c r="A107" s="121" t="s">
        <v>279</v>
      </c>
      <c r="B107" s="135" t="s">
        <v>48</v>
      </c>
      <c r="C107" s="13" t="s">
        <v>54</v>
      </c>
      <c r="D107" s="1" t="s">
        <v>51</v>
      </c>
      <c r="E107" s="13" t="s">
        <v>106</v>
      </c>
      <c r="F107" s="254">
        <v>1</v>
      </c>
      <c r="G107" s="246" t="s">
        <v>361</v>
      </c>
    </row>
    <row r="108" spans="1:7" x14ac:dyDescent="0.35">
      <c r="A108" s="121" t="s">
        <v>280</v>
      </c>
      <c r="B108" s="135" t="s">
        <v>48</v>
      </c>
      <c r="C108" s="13" t="s">
        <v>50</v>
      </c>
      <c r="D108" s="1" t="s">
        <v>51</v>
      </c>
      <c r="E108" s="13" t="s">
        <v>106</v>
      </c>
      <c r="F108" s="254">
        <v>1</v>
      </c>
      <c r="G108" s="246" t="s">
        <v>361</v>
      </c>
    </row>
    <row r="109" spans="1:7" x14ac:dyDescent="0.35">
      <c r="A109" s="121" t="s">
        <v>281</v>
      </c>
      <c r="B109" s="135" t="s">
        <v>48</v>
      </c>
      <c r="C109" s="16" t="s">
        <v>68</v>
      </c>
      <c r="D109" s="18" t="s">
        <v>51</v>
      </c>
      <c r="E109" s="13" t="s">
        <v>106</v>
      </c>
      <c r="F109" s="254">
        <v>1</v>
      </c>
      <c r="G109" s="250" t="s">
        <v>361</v>
      </c>
    </row>
    <row r="110" spans="1:7" x14ac:dyDescent="0.35">
      <c r="A110" s="121" t="s">
        <v>149</v>
      </c>
      <c r="B110" s="135" t="s">
        <v>48</v>
      </c>
      <c r="C110" s="13" t="s">
        <v>50</v>
      </c>
      <c r="D110" s="1" t="s">
        <v>171</v>
      </c>
      <c r="E110" s="13" t="s">
        <v>101</v>
      </c>
      <c r="F110" s="257" t="s">
        <v>190</v>
      </c>
      <c r="G110" s="248" t="s">
        <v>64</v>
      </c>
    </row>
    <row r="111" spans="1:7" x14ac:dyDescent="0.35">
      <c r="A111" s="125" t="s">
        <v>176</v>
      </c>
      <c r="B111" s="136" t="s">
        <v>48</v>
      </c>
      <c r="C111" s="17" t="s">
        <v>50</v>
      </c>
      <c r="D111" s="20" t="s">
        <v>171</v>
      </c>
      <c r="E111" s="17" t="s">
        <v>101</v>
      </c>
      <c r="F111" s="257" t="s">
        <v>190</v>
      </c>
      <c r="G111" s="253" t="s">
        <v>64</v>
      </c>
    </row>
    <row r="112" spans="1:7" x14ac:dyDescent="0.35">
      <c r="A112" s="121" t="s">
        <v>38</v>
      </c>
      <c r="B112" s="135" t="s">
        <v>48</v>
      </c>
      <c r="C112" s="13" t="s">
        <v>50</v>
      </c>
      <c r="D112" s="1" t="s">
        <v>171</v>
      </c>
      <c r="E112" s="13" t="s">
        <v>102</v>
      </c>
      <c r="F112" s="257" t="s">
        <v>190</v>
      </c>
      <c r="G112" s="253" t="s">
        <v>64</v>
      </c>
    </row>
    <row r="113" spans="1:7" x14ac:dyDescent="0.35">
      <c r="A113" s="120" t="s">
        <v>330</v>
      </c>
      <c r="B113" s="132" t="s">
        <v>48</v>
      </c>
      <c r="C113" s="117" t="s">
        <v>68</v>
      </c>
      <c r="D113" s="118" t="s">
        <v>51</v>
      </c>
      <c r="E113" s="117" t="s">
        <v>106</v>
      </c>
      <c r="F113" s="258">
        <v>1</v>
      </c>
      <c r="G113" s="216" t="s">
        <v>361</v>
      </c>
    </row>
    <row r="114" spans="1:7" x14ac:dyDescent="0.35">
      <c r="A114" s="120" t="s">
        <v>330</v>
      </c>
      <c r="B114" s="132" t="s">
        <v>48</v>
      </c>
      <c r="C114" s="117" t="s">
        <v>68</v>
      </c>
      <c r="D114" s="118" t="s">
        <v>51</v>
      </c>
      <c r="E114" s="117" t="s">
        <v>106</v>
      </c>
      <c r="F114" s="258">
        <v>1</v>
      </c>
      <c r="G114" s="216" t="s">
        <v>361</v>
      </c>
    </row>
    <row r="115" spans="1:7" x14ac:dyDescent="0.35">
      <c r="A115" s="121" t="s">
        <v>33</v>
      </c>
      <c r="B115" s="135" t="s">
        <v>276</v>
      </c>
      <c r="C115" s="13" t="s">
        <v>50</v>
      </c>
      <c r="D115" s="1" t="s">
        <v>51</v>
      </c>
      <c r="E115" s="13" t="s">
        <v>106</v>
      </c>
      <c r="F115" s="257" t="s">
        <v>190</v>
      </c>
      <c r="G115" s="246" t="s">
        <v>51</v>
      </c>
    </row>
    <row r="116" spans="1:7" x14ac:dyDescent="0.35">
      <c r="A116" s="121" t="s">
        <v>85</v>
      </c>
      <c r="B116" s="135" t="s">
        <v>108</v>
      </c>
      <c r="C116" s="13" t="s">
        <v>73</v>
      </c>
      <c r="D116" s="1" t="s">
        <v>100</v>
      </c>
      <c r="E116" s="13" t="s">
        <v>106</v>
      </c>
      <c r="F116" s="254">
        <v>3</v>
      </c>
      <c r="G116" s="246" t="s">
        <v>359</v>
      </c>
    </row>
    <row r="117" spans="1:7" x14ac:dyDescent="0.35">
      <c r="A117" s="126" t="s">
        <v>150</v>
      </c>
      <c r="B117" s="136" t="s">
        <v>48</v>
      </c>
      <c r="C117" s="19" t="s">
        <v>370</v>
      </c>
      <c r="D117" s="20" t="s">
        <v>52</v>
      </c>
      <c r="E117" s="17" t="s">
        <v>372</v>
      </c>
      <c r="F117" s="257">
        <v>5</v>
      </c>
      <c r="G117" s="251" t="s">
        <v>371</v>
      </c>
    </row>
    <row r="118" spans="1:7" x14ac:dyDescent="0.35">
      <c r="A118" s="126" t="s">
        <v>151</v>
      </c>
      <c r="B118" s="136" t="s">
        <v>86</v>
      </c>
      <c r="C118" s="19" t="s">
        <v>87</v>
      </c>
      <c r="D118" s="20" t="s">
        <v>99</v>
      </c>
      <c r="E118" s="17" t="s">
        <v>106</v>
      </c>
      <c r="F118" s="257" t="s">
        <v>190</v>
      </c>
      <c r="G118" s="251" t="s">
        <v>51</v>
      </c>
    </row>
    <row r="119" spans="1:7" x14ac:dyDescent="0.35">
      <c r="A119" s="121" t="s">
        <v>151</v>
      </c>
      <c r="B119" s="135" t="s">
        <v>48</v>
      </c>
      <c r="C119" s="19" t="s">
        <v>50</v>
      </c>
      <c r="D119" s="20" t="s">
        <v>99</v>
      </c>
      <c r="E119" s="13" t="s">
        <v>106</v>
      </c>
      <c r="F119" s="257" t="s">
        <v>190</v>
      </c>
      <c r="G119" s="246" t="s">
        <v>51</v>
      </c>
    </row>
    <row r="120" spans="1:7" x14ac:dyDescent="0.35">
      <c r="A120" s="130" t="s">
        <v>151</v>
      </c>
      <c r="B120" s="132" t="s">
        <v>190</v>
      </c>
      <c r="C120" s="117" t="s">
        <v>191</v>
      </c>
      <c r="D120" s="118" t="s">
        <v>191</v>
      </c>
      <c r="E120" s="117" t="s">
        <v>106</v>
      </c>
      <c r="F120" s="257" t="s">
        <v>190</v>
      </c>
      <c r="G120" s="216" t="s">
        <v>51</v>
      </c>
    </row>
    <row r="121" spans="1:7" x14ac:dyDescent="0.35">
      <c r="A121" s="121" t="s">
        <v>77</v>
      </c>
      <c r="B121" s="135" t="s">
        <v>53</v>
      </c>
      <c r="C121" s="19" t="s">
        <v>50</v>
      </c>
      <c r="D121" s="20" t="s">
        <v>64</v>
      </c>
      <c r="E121" s="13" t="s">
        <v>106</v>
      </c>
      <c r="F121" s="257" t="s">
        <v>190</v>
      </c>
      <c r="G121" s="246" t="s">
        <v>64</v>
      </c>
    </row>
    <row r="122" spans="1:7" x14ac:dyDescent="0.35">
      <c r="A122" s="121" t="s">
        <v>81</v>
      </c>
      <c r="B122" s="135" t="s">
        <v>53</v>
      </c>
      <c r="C122" s="2" t="s">
        <v>47</v>
      </c>
      <c r="D122" s="20" t="s">
        <v>64</v>
      </c>
      <c r="E122" s="13" t="s">
        <v>106</v>
      </c>
      <c r="F122" s="254">
        <v>3</v>
      </c>
      <c r="G122" s="246" t="s">
        <v>357</v>
      </c>
    </row>
    <row r="123" spans="1:7" x14ac:dyDescent="0.35">
      <c r="A123" s="121" t="s">
        <v>80</v>
      </c>
      <c r="B123" s="135" t="s">
        <v>53</v>
      </c>
      <c r="C123" s="13" t="s">
        <v>47</v>
      </c>
      <c r="D123" s="1" t="s">
        <v>64</v>
      </c>
      <c r="E123" s="13" t="s">
        <v>106</v>
      </c>
      <c r="F123" s="254">
        <v>3</v>
      </c>
      <c r="G123" s="246" t="s">
        <v>357</v>
      </c>
    </row>
    <row r="124" spans="1:7" x14ac:dyDescent="0.35">
      <c r="A124" s="121" t="s">
        <v>152</v>
      </c>
      <c r="B124" s="135" t="s">
        <v>48</v>
      </c>
      <c r="C124" s="16" t="s">
        <v>54</v>
      </c>
      <c r="D124" s="18" t="s">
        <v>72</v>
      </c>
      <c r="E124" s="13" t="s">
        <v>106</v>
      </c>
      <c r="F124" s="257" t="s">
        <v>190</v>
      </c>
      <c r="G124" s="250" t="s">
        <v>51</v>
      </c>
    </row>
    <row r="125" spans="1:7" x14ac:dyDescent="0.35">
      <c r="A125" s="121" t="s">
        <v>195</v>
      </c>
      <c r="B125" s="135" t="s">
        <v>190</v>
      </c>
      <c r="C125" s="13" t="s">
        <v>191</v>
      </c>
      <c r="D125" s="1" t="s">
        <v>191</v>
      </c>
      <c r="E125" s="13" t="s">
        <v>106</v>
      </c>
      <c r="F125" s="257" t="s">
        <v>190</v>
      </c>
      <c r="G125" s="246" t="s">
        <v>51</v>
      </c>
    </row>
    <row r="126" spans="1:7" x14ac:dyDescent="0.35">
      <c r="A126" s="127" t="s">
        <v>153</v>
      </c>
      <c r="B126" s="135" t="s">
        <v>48</v>
      </c>
      <c r="C126" s="13" t="s">
        <v>54</v>
      </c>
      <c r="D126" s="18" t="s">
        <v>51</v>
      </c>
      <c r="E126" s="13" t="s">
        <v>106</v>
      </c>
      <c r="F126" s="257" t="s">
        <v>190</v>
      </c>
      <c r="G126" s="250" t="s">
        <v>51</v>
      </c>
    </row>
    <row r="127" spans="1:7" x14ac:dyDescent="0.35">
      <c r="A127" s="128" t="s">
        <v>387</v>
      </c>
      <c r="B127" s="135" t="s">
        <v>190</v>
      </c>
      <c r="C127" s="13" t="s">
        <v>191</v>
      </c>
      <c r="D127" s="18" t="s">
        <v>191</v>
      </c>
      <c r="E127" s="13" t="s">
        <v>106</v>
      </c>
      <c r="F127" s="257" t="s">
        <v>190</v>
      </c>
      <c r="G127" s="250" t="s">
        <v>51</v>
      </c>
    </row>
    <row r="128" spans="1:7" x14ac:dyDescent="0.35">
      <c r="A128" s="128" t="s">
        <v>154</v>
      </c>
      <c r="B128" s="135" t="s">
        <v>48</v>
      </c>
      <c r="C128" s="13" t="s">
        <v>54</v>
      </c>
      <c r="D128" s="18" t="s">
        <v>51</v>
      </c>
      <c r="E128" s="13" t="s">
        <v>106</v>
      </c>
      <c r="F128" s="257" t="s">
        <v>190</v>
      </c>
      <c r="G128" s="250" t="s">
        <v>51</v>
      </c>
    </row>
    <row r="129" spans="1:7" x14ac:dyDescent="0.35">
      <c r="A129" s="128" t="s">
        <v>155</v>
      </c>
      <c r="B129" s="135" t="s">
        <v>48</v>
      </c>
      <c r="C129" s="13" t="s">
        <v>54</v>
      </c>
      <c r="D129" s="18" t="s">
        <v>51</v>
      </c>
      <c r="E129" s="13" t="s">
        <v>106</v>
      </c>
      <c r="F129" s="257" t="s">
        <v>190</v>
      </c>
      <c r="G129" s="250" t="s">
        <v>51</v>
      </c>
    </row>
    <row r="130" spans="1:7" x14ac:dyDescent="0.35">
      <c r="A130" s="128" t="s">
        <v>156</v>
      </c>
      <c r="B130" s="135" t="s">
        <v>48</v>
      </c>
      <c r="C130" s="17" t="s">
        <v>54</v>
      </c>
      <c r="D130" s="18" t="s">
        <v>51</v>
      </c>
      <c r="E130" s="13" t="s">
        <v>106</v>
      </c>
      <c r="F130" s="257" t="s">
        <v>190</v>
      </c>
      <c r="G130" s="250" t="s">
        <v>51</v>
      </c>
    </row>
    <row r="131" spans="1:7" x14ac:dyDescent="0.35">
      <c r="A131" s="128" t="s">
        <v>157</v>
      </c>
      <c r="B131" s="135" t="s">
        <v>48</v>
      </c>
      <c r="C131" s="13" t="s">
        <v>54</v>
      </c>
      <c r="D131" s="18" t="s">
        <v>51</v>
      </c>
      <c r="E131" s="13" t="s">
        <v>106</v>
      </c>
      <c r="F131" s="257" t="s">
        <v>190</v>
      </c>
      <c r="G131" s="250" t="s">
        <v>51</v>
      </c>
    </row>
    <row r="132" spans="1:7" x14ac:dyDescent="0.35">
      <c r="A132" s="128" t="s">
        <v>189</v>
      </c>
      <c r="B132" s="135" t="s">
        <v>190</v>
      </c>
      <c r="C132" s="13" t="s">
        <v>191</v>
      </c>
      <c r="D132" s="18" t="s">
        <v>191</v>
      </c>
      <c r="E132" s="13" t="s">
        <v>106</v>
      </c>
      <c r="F132" s="257" t="s">
        <v>190</v>
      </c>
      <c r="G132" s="250" t="s">
        <v>51</v>
      </c>
    </row>
    <row r="133" spans="1:7" x14ac:dyDescent="0.35">
      <c r="A133" s="128" t="s">
        <v>158</v>
      </c>
      <c r="B133" s="135" t="s">
        <v>48</v>
      </c>
      <c r="C133" s="13" t="s">
        <v>54</v>
      </c>
      <c r="D133" s="18" t="s">
        <v>51</v>
      </c>
      <c r="E133" s="13" t="s">
        <v>106</v>
      </c>
      <c r="F133" s="257" t="s">
        <v>190</v>
      </c>
      <c r="G133" s="250" t="s">
        <v>51</v>
      </c>
    </row>
    <row r="134" spans="1:7" x14ac:dyDescent="0.35">
      <c r="A134" s="129" t="s">
        <v>159</v>
      </c>
      <c r="B134" s="135" t="s">
        <v>48</v>
      </c>
      <c r="C134" s="13" t="s">
        <v>54</v>
      </c>
      <c r="D134" s="1" t="s">
        <v>51</v>
      </c>
      <c r="E134" s="13" t="s">
        <v>106</v>
      </c>
      <c r="F134" s="257" t="s">
        <v>190</v>
      </c>
      <c r="G134" s="246" t="s">
        <v>51</v>
      </c>
    </row>
    <row r="135" spans="1:7" x14ac:dyDescent="0.35">
      <c r="A135" s="126" t="s">
        <v>196</v>
      </c>
      <c r="B135" s="136" t="s">
        <v>190</v>
      </c>
      <c r="C135" s="17" t="s">
        <v>191</v>
      </c>
      <c r="D135" s="20" t="s">
        <v>191</v>
      </c>
      <c r="E135" s="17" t="s">
        <v>106</v>
      </c>
      <c r="F135" s="257" t="s">
        <v>190</v>
      </c>
      <c r="G135" s="251" t="s">
        <v>51</v>
      </c>
    </row>
    <row r="136" spans="1:7" x14ac:dyDescent="0.35">
      <c r="A136" s="126" t="s">
        <v>188</v>
      </c>
      <c r="B136" s="136" t="s">
        <v>190</v>
      </c>
      <c r="C136" s="17" t="s">
        <v>191</v>
      </c>
      <c r="D136" s="20" t="s">
        <v>191</v>
      </c>
      <c r="E136" s="17" t="s">
        <v>106</v>
      </c>
      <c r="F136" s="257" t="s">
        <v>190</v>
      </c>
      <c r="G136" s="251" t="s">
        <v>51</v>
      </c>
    </row>
    <row r="137" spans="1:7" x14ac:dyDescent="0.35">
      <c r="A137" s="126" t="s">
        <v>160</v>
      </c>
      <c r="B137" s="136" t="s">
        <v>48</v>
      </c>
      <c r="C137" s="17" t="s">
        <v>54</v>
      </c>
      <c r="D137" s="20" t="s">
        <v>51</v>
      </c>
      <c r="E137" s="17" t="s">
        <v>106</v>
      </c>
      <c r="F137" s="257" t="s">
        <v>190</v>
      </c>
      <c r="G137" s="251" t="s">
        <v>51</v>
      </c>
    </row>
    <row r="138" spans="1:7" x14ac:dyDescent="0.35">
      <c r="A138" s="121" t="s">
        <v>208</v>
      </c>
      <c r="B138" s="135" t="s">
        <v>190</v>
      </c>
      <c r="C138" s="13" t="s">
        <v>190</v>
      </c>
      <c r="D138" s="1" t="s">
        <v>190</v>
      </c>
      <c r="E138" s="13" t="s">
        <v>190</v>
      </c>
      <c r="F138" s="254" t="s">
        <v>190</v>
      </c>
      <c r="G138" s="246" t="s">
        <v>190</v>
      </c>
    </row>
    <row r="139" spans="1:7" x14ac:dyDescent="0.35">
      <c r="A139" s="121" t="s">
        <v>211</v>
      </c>
      <c r="B139" s="135" t="s">
        <v>190</v>
      </c>
      <c r="C139" s="13" t="s">
        <v>190</v>
      </c>
      <c r="D139" s="1" t="s">
        <v>190</v>
      </c>
      <c r="E139" s="13" t="s">
        <v>190</v>
      </c>
      <c r="F139" s="254" t="s">
        <v>190</v>
      </c>
      <c r="G139" s="246" t="s">
        <v>190</v>
      </c>
    </row>
    <row r="140" spans="1:7" x14ac:dyDescent="0.35">
      <c r="A140" s="121" t="s">
        <v>209</v>
      </c>
      <c r="B140" s="135" t="s">
        <v>190</v>
      </c>
      <c r="C140" s="13" t="s">
        <v>190</v>
      </c>
      <c r="D140" s="1" t="s">
        <v>190</v>
      </c>
      <c r="E140" s="13" t="s">
        <v>190</v>
      </c>
      <c r="F140" s="254" t="s">
        <v>190</v>
      </c>
      <c r="G140" s="246" t="s">
        <v>190</v>
      </c>
    </row>
    <row r="141" spans="1:7" x14ac:dyDescent="0.35">
      <c r="A141" s="121" t="s">
        <v>210</v>
      </c>
      <c r="B141" s="135" t="s">
        <v>190</v>
      </c>
      <c r="C141" s="13" t="s">
        <v>190</v>
      </c>
      <c r="D141" s="1" t="s">
        <v>190</v>
      </c>
      <c r="E141" s="13" t="s">
        <v>190</v>
      </c>
      <c r="F141" s="254" t="s">
        <v>190</v>
      </c>
      <c r="G141" s="246" t="s">
        <v>190</v>
      </c>
    </row>
    <row r="142" spans="1:7" x14ac:dyDescent="0.35">
      <c r="A142" s="121" t="s">
        <v>34</v>
      </c>
      <c r="B142" s="135" t="s">
        <v>53</v>
      </c>
      <c r="C142" s="13" t="s">
        <v>50</v>
      </c>
      <c r="D142" s="1" t="s">
        <v>51</v>
      </c>
      <c r="E142" s="13" t="s">
        <v>106</v>
      </c>
      <c r="F142" s="257" t="s">
        <v>190</v>
      </c>
      <c r="G142" s="246" t="s">
        <v>51</v>
      </c>
    </row>
    <row r="143" spans="1:7" x14ac:dyDescent="0.35">
      <c r="A143" s="121" t="s">
        <v>177</v>
      </c>
      <c r="B143" s="135" t="s">
        <v>276</v>
      </c>
      <c r="C143" s="13" t="s">
        <v>50</v>
      </c>
      <c r="D143" s="1" t="s">
        <v>51</v>
      </c>
      <c r="E143" s="13" t="s">
        <v>106</v>
      </c>
      <c r="F143" s="254">
        <v>1</v>
      </c>
      <c r="G143" s="246" t="s">
        <v>361</v>
      </c>
    </row>
    <row r="144" spans="1:7" x14ac:dyDescent="0.35">
      <c r="A144" s="121" t="s">
        <v>161</v>
      </c>
      <c r="B144" s="135" t="s">
        <v>49</v>
      </c>
      <c r="C144" s="13" t="s">
        <v>47</v>
      </c>
      <c r="D144" s="1" t="s">
        <v>51</v>
      </c>
      <c r="E144" s="13" t="s">
        <v>106</v>
      </c>
      <c r="F144" s="254">
        <v>2</v>
      </c>
      <c r="G144" s="246" t="s">
        <v>364</v>
      </c>
    </row>
    <row r="145" spans="1:7" x14ac:dyDescent="0.35">
      <c r="A145" s="121" t="s">
        <v>178</v>
      </c>
      <c r="B145" s="135" t="s">
        <v>48</v>
      </c>
      <c r="C145" s="13" t="s">
        <v>68</v>
      </c>
      <c r="D145" s="1" t="s">
        <v>51</v>
      </c>
      <c r="E145" s="13" t="s">
        <v>106</v>
      </c>
      <c r="F145" s="254">
        <v>3</v>
      </c>
      <c r="G145" s="246" t="s">
        <v>357</v>
      </c>
    </row>
    <row r="146" spans="1:7" x14ac:dyDescent="0.35">
      <c r="A146" s="126" t="s">
        <v>182</v>
      </c>
      <c r="B146" s="136" t="s">
        <v>48</v>
      </c>
      <c r="C146" s="17" t="s">
        <v>54</v>
      </c>
      <c r="D146" s="20" t="s">
        <v>64</v>
      </c>
      <c r="E146" s="17" t="s">
        <v>106</v>
      </c>
      <c r="F146" s="254" t="s">
        <v>190</v>
      </c>
      <c r="G146" s="251" t="s">
        <v>64</v>
      </c>
    </row>
    <row r="147" spans="1:7" x14ac:dyDescent="0.35">
      <c r="A147" s="121" t="s">
        <v>162</v>
      </c>
      <c r="B147" s="135" t="s">
        <v>48</v>
      </c>
      <c r="C147" s="13" t="s">
        <v>47</v>
      </c>
      <c r="D147" s="1" t="s">
        <v>51</v>
      </c>
      <c r="E147" s="242" t="s">
        <v>106</v>
      </c>
      <c r="F147" s="254">
        <v>1</v>
      </c>
      <c r="G147" s="246" t="s">
        <v>363</v>
      </c>
    </row>
    <row r="148" spans="1:7" x14ac:dyDescent="0.35">
      <c r="A148" s="126" t="s">
        <v>163</v>
      </c>
      <c r="B148" s="136" t="s">
        <v>48</v>
      </c>
      <c r="C148" s="17" t="s">
        <v>47</v>
      </c>
      <c r="D148" s="20" t="s">
        <v>51</v>
      </c>
      <c r="E148" s="17" t="s">
        <v>106</v>
      </c>
      <c r="F148" s="254">
        <v>1</v>
      </c>
      <c r="G148" s="246" t="s">
        <v>363</v>
      </c>
    </row>
    <row r="149" spans="1:7" x14ac:dyDescent="0.35">
      <c r="A149" s="121" t="s">
        <v>164</v>
      </c>
      <c r="B149" s="135" t="s">
        <v>48</v>
      </c>
      <c r="C149" s="13" t="s">
        <v>47</v>
      </c>
      <c r="D149" s="1" t="s">
        <v>51</v>
      </c>
      <c r="E149" s="242" t="s">
        <v>106</v>
      </c>
      <c r="F149" s="257" t="s">
        <v>190</v>
      </c>
      <c r="G149" s="246" t="s">
        <v>51</v>
      </c>
    </row>
    <row r="150" spans="1:7" x14ac:dyDescent="0.35">
      <c r="A150" s="121" t="s">
        <v>307</v>
      </c>
      <c r="B150" s="135" t="s">
        <v>48</v>
      </c>
      <c r="C150" s="13" t="s">
        <v>47</v>
      </c>
      <c r="D150" s="20" t="s">
        <v>51</v>
      </c>
      <c r="E150" s="17" t="s">
        <v>106</v>
      </c>
      <c r="F150" s="257" t="s">
        <v>190</v>
      </c>
      <c r="G150" s="251" t="s">
        <v>51</v>
      </c>
    </row>
    <row r="151" spans="1:7" x14ac:dyDescent="0.35">
      <c r="A151" s="121" t="s">
        <v>165</v>
      </c>
      <c r="B151" s="135" t="s">
        <v>48</v>
      </c>
      <c r="C151" s="13" t="s">
        <v>50</v>
      </c>
      <c r="D151" s="1" t="s">
        <v>51</v>
      </c>
      <c r="E151" s="13" t="s">
        <v>106</v>
      </c>
      <c r="F151" s="257" t="s">
        <v>190</v>
      </c>
      <c r="G151" s="251" t="s">
        <v>51</v>
      </c>
    </row>
    <row r="152" spans="1:7" x14ac:dyDescent="0.35">
      <c r="A152" s="121" t="s">
        <v>84</v>
      </c>
      <c r="B152" s="135" t="s">
        <v>48</v>
      </c>
      <c r="C152" s="13" t="s">
        <v>54</v>
      </c>
      <c r="D152" s="1" t="s">
        <v>174</v>
      </c>
      <c r="E152" s="13" t="s">
        <v>109</v>
      </c>
      <c r="F152" s="254">
        <v>3</v>
      </c>
      <c r="G152" s="246" t="s">
        <v>357</v>
      </c>
    </row>
    <row r="153" spans="1:7" x14ac:dyDescent="0.35">
      <c r="A153" s="121" t="s">
        <v>308</v>
      </c>
      <c r="B153" s="135" t="s">
        <v>48</v>
      </c>
      <c r="C153" s="13" t="s">
        <v>50</v>
      </c>
      <c r="D153" s="1" t="s">
        <v>174</v>
      </c>
      <c r="E153" s="13" t="s">
        <v>109</v>
      </c>
      <c r="F153" s="257" t="s">
        <v>190</v>
      </c>
      <c r="G153" s="246" t="s">
        <v>64</v>
      </c>
    </row>
    <row r="154" spans="1:7" x14ac:dyDescent="0.35">
      <c r="A154" s="121" t="s">
        <v>309</v>
      </c>
      <c r="B154" s="135" t="s">
        <v>48</v>
      </c>
      <c r="C154" s="13" t="s">
        <v>54</v>
      </c>
      <c r="D154" s="1" t="s">
        <v>72</v>
      </c>
      <c r="E154" s="13" t="s">
        <v>106</v>
      </c>
      <c r="F154" s="257" t="s">
        <v>190</v>
      </c>
      <c r="G154" s="246" t="s">
        <v>64</v>
      </c>
    </row>
    <row r="155" spans="1:7" x14ac:dyDescent="0.35">
      <c r="A155" s="121" t="s">
        <v>197</v>
      </c>
      <c r="B155" s="135" t="s">
        <v>190</v>
      </c>
      <c r="C155" s="13" t="s">
        <v>191</v>
      </c>
      <c r="D155" s="1" t="s">
        <v>191</v>
      </c>
      <c r="E155" s="13" t="s">
        <v>106</v>
      </c>
      <c r="F155" s="257" t="s">
        <v>190</v>
      </c>
      <c r="G155" s="246" t="s">
        <v>51</v>
      </c>
    </row>
    <row r="156" spans="1:7" x14ac:dyDescent="0.35">
      <c r="A156" s="203" t="s">
        <v>83</v>
      </c>
      <c r="B156" s="135" t="s">
        <v>48</v>
      </c>
      <c r="C156" s="13" t="s">
        <v>50</v>
      </c>
      <c r="D156" s="1" t="s">
        <v>51</v>
      </c>
      <c r="E156" s="13" t="s">
        <v>106</v>
      </c>
      <c r="F156" s="257" t="s">
        <v>190</v>
      </c>
      <c r="G156" s="246" t="s">
        <v>51</v>
      </c>
    </row>
    <row r="157" spans="1:7" x14ac:dyDescent="0.35">
      <c r="A157" s="121" t="s">
        <v>310</v>
      </c>
      <c r="B157" s="135" t="s">
        <v>48</v>
      </c>
      <c r="C157" s="13" t="s">
        <v>54</v>
      </c>
      <c r="D157" s="1" t="s">
        <v>51</v>
      </c>
      <c r="E157" s="13" t="s">
        <v>106</v>
      </c>
      <c r="F157" s="257" t="s">
        <v>190</v>
      </c>
      <c r="G157" s="246" t="s">
        <v>51</v>
      </c>
    </row>
    <row r="158" spans="1:7" x14ac:dyDescent="0.35">
      <c r="A158" s="204" t="s">
        <v>312</v>
      </c>
      <c r="B158" s="214" t="s">
        <v>311</v>
      </c>
      <c r="C158" s="16" t="s">
        <v>50</v>
      </c>
      <c r="D158" s="18" t="s">
        <v>51</v>
      </c>
      <c r="E158" s="16" t="s">
        <v>106</v>
      </c>
      <c r="F158" s="257" t="s">
        <v>190</v>
      </c>
      <c r="G158" s="250" t="s">
        <v>51</v>
      </c>
    </row>
    <row r="159" spans="1:7" x14ac:dyDescent="0.35">
      <c r="A159" s="213" t="s">
        <v>327</v>
      </c>
      <c r="B159" s="215" t="s">
        <v>49</v>
      </c>
      <c r="C159" s="215" t="s">
        <v>328</v>
      </c>
      <c r="D159" s="217" t="s">
        <v>292</v>
      </c>
      <c r="E159" s="243" t="s">
        <v>106</v>
      </c>
      <c r="F159" s="257" t="s">
        <v>190</v>
      </c>
      <c r="G159" s="218" t="s">
        <v>51</v>
      </c>
    </row>
    <row r="160" spans="1:7" x14ac:dyDescent="0.35">
      <c r="A160" s="213" t="s">
        <v>326</v>
      </c>
      <c r="B160" s="116" t="s">
        <v>48</v>
      </c>
      <c r="C160" s="116" t="s">
        <v>47</v>
      </c>
      <c r="D160" s="118" t="s">
        <v>51</v>
      </c>
      <c r="E160" s="244" t="s">
        <v>106</v>
      </c>
      <c r="F160" s="257" t="s">
        <v>190</v>
      </c>
      <c r="G160" s="216" t="s">
        <v>51</v>
      </c>
    </row>
    <row r="161" spans="1:7" x14ac:dyDescent="0.35">
      <c r="A161" s="213" t="s">
        <v>329</v>
      </c>
      <c r="B161" s="215" t="s">
        <v>49</v>
      </c>
      <c r="C161" s="215" t="s">
        <v>328</v>
      </c>
      <c r="D161" s="217" t="s">
        <v>51</v>
      </c>
      <c r="E161" s="243" t="s">
        <v>106</v>
      </c>
      <c r="F161" s="257" t="s">
        <v>190</v>
      </c>
      <c r="G161" s="218" t="s">
        <v>51</v>
      </c>
    </row>
    <row r="162" spans="1:7" x14ac:dyDescent="0.35">
      <c r="A162" s="213" t="s">
        <v>338</v>
      </c>
      <c r="B162" s="215" t="s">
        <v>48</v>
      </c>
      <c r="C162" s="215" t="s">
        <v>47</v>
      </c>
      <c r="D162" s="217" t="s">
        <v>51</v>
      </c>
      <c r="E162" s="243" t="s">
        <v>106</v>
      </c>
      <c r="F162" s="257" t="s">
        <v>190</v>
      </c>
      <c r="G162" s="218" t="s">
        <v>51</v>
      </c>
    </row>
    <row r="163" spans="1:7" x14ac:dyDescent="0.35">
      <c r="A163" s="213" t="s">
        <v>343</v>
      </c>
      <c r="B163" s="215" t="s">
        <v>49</v>
      </c>
      <c r="C163" s="13" t="s">
        <v>50</v>
      </c>
      <c r="D163" s="217" t="s">
        <v>51</v>
      </c>
      <c r="E163" s="243" t="s">
        <v>106</v>
      </c>
      <c r="F163" s="257" t="s">
        <v>190</v>
      </c>
      <c r="G163" s="218" t="s">
        <v>51</v>
      </c>
    </row>
    <row r="164" spans="1:7" x14ac:dyDescent="0.35">
      <c r="A164" s="213" t="s">
        <v>344</v>
      </c>
      <c r="B164" s="215" t="s">
        <v>49</v>
      </c>
      <c r="C164" s="13" t="s">
        <v>50</v>
      </c>
      <c r="D164" s="217" t="s">
        <v>51</v>
      </c>
      <c r="E164" s="243" t="s">
        <v>106</v>
      </c>
      <c r="F164" s="257" t="s">
        <v>190</v>
      </c>
      <c r="G164" s="218" t="s">
        <v>51</v>
      </c>
    </row>
    <row r="165" spans="1:7" x14ac:dyDescent="0.35">
      <c r="A165" s="213" t="s">
        <v>345</v>
      </c>
      <c r="B165" s="215" t="s">
        <v>49</v>
      </c>
      <c r="C165" s="13" t="s">
        <v>50</v>
      </c>
      <c r="D165" s="217" t="s">
        <v>51</v>
      </c>
      <c r="E165" s="243" t="s">
        <v>106</v>
      </c>
      <c r="F165" s="257" t="s">
        <v>190</v>
      </c>
      <c r="G165" s="218" t="s">
        <v>51</v>
      </c>
    </row>
    <row r="166" spans="1:7" x14ac:dyDescent="0.35">
      <c r="A166" s="224" t="s">
        <v>347</v>
      </c>
      <c r="B166" s="215" t="s">
        <v>348</v>
      </c>
      <c r="C166" s="13" t="s">
        <v>47</v>
      </c>
      <c r="D166" s="217" t="s">
        <v>51</v>
      </c>
      <c r="E166" s="243" t="s">
        <v>106</v>
      </c>
      <c r="F166" s="257" t="s">
        <v>190</v>
      </c>
      <c r="G166" s="218" t="s">
        <v>51</v>
      </c>
    </row>
    <row r="167" spans="1:7" x14ac:dyDescent="0.35">
      <c r="A167" s="224" t="s">
        <v>353</v>
      </c>
      <c r="B167" s="215" t="s">
        <v>49</v>
      </c>
      <c r="C167" s="13" t="s">
        <v>50</v>
      </c>
      <c r="D167" s="217" t="s">
        <v>51</v>
      </c>
      <c r="E167" s="243" t="s">
        <v>106</v>
      </c>
      <c r="F167" s="257" t="s">
        <v>190</v>
      </c>
      <c r="G167" s="218" t="s">
        <v>51</v>
      </c>
    </row>
    <row r="168" spans="1:7" ht="15" thickBot="1" x14ac:dyDescent="0.4">
      <c r="A168" s="224" t="s">
        <v>354</v>
      </c>
      <c r="B168" s="215" t="s">
        <v>49</v>
      </c>
      <c r="C168" s="13" t="s">
        <v>50</v>
      </c>
      <c r="D168" s="217" t="s">
        <v>51</v>
      </c>
      <c r="E168" s="243" t="s">
        <v>106</v>
      </c>
      <c r="F168" s="259" t="s">
        <v>190</v>
      </c>
      <c r="G168" s="218" t="s">
        <v>51</v>
      </c>
    </row>
    <row r="169" spans="1:7" x14ac:dyDescent="0.35">
      <c r="A169" s="120"/>
    </row>
    <row r="170" spans="1:7" x14ac:dyDescent="0.35">
      <c r="A170" s="120"/>
    </row>
    <row r="171" spans="1:7" x14ac:dyDescent="0.35">
      <c r="A171" s="120"/>
    </row>
    <row r="172" spans="1:7" x14ac:dyDescent="0.35">
      <c r="A172" s="262"/>
    </row>
    <row r="173" spans="1:7" x14ac:dyDescent="0.35">
      <c r="A173" s="213"/>
    </row>
    <row r="175" spans="1:7" x14ac:dyDescent="0.35">
      <c r="D175" t="s">
        <v>190</v>
      </c>
    </row>
  </sheetData>
  <mergeCells count="2">
    <mergeCell ref="D1:E1"/>
    <mergeCell ref="F1:G1"/>
  </mergeCells>
  <phoneticPr fontId="51" type="noConversion"/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2:I34"/>
  <sheetViews>
    <sheetView zoomScale="85" zoomScaleNormal="85" workbookViewId="0">
      <selection activeCell="E26" sqref="E26"/>
    </sheetView>
  </sheetViews>
  <sheetFormatPr baseColWidth="10" defaultRowHeight="14.5" x14ac:dyDescent="0.35"/>
  <cols>
    <col min="1" max="1" width="3.1796875" customWidth="1"/>
    <col min="2" max="2" width="76.1796875" customWidth="1"/>
    <col min="3" max="3" width="4.453125" customWidth="1"/>
    <col min="4" max="4" width="2.1796875" customWidth="1"/>
    <col min="5" max="5" width="20.81640625" customWidth="1"/>
    <col min="6" max="6" width="4.453125" customWidth="1"/>
    <col min="7" max="7" width="2.1796875" customWidth="1"/>
    <col min="8" max="8" width="20.81640625" customWidth="1"/>
    <col min="9" max="9" width="4.453125" customWidth="1"/>
  </cols>
  <sheetData>
    <row r="2" spans="2:9" ht="18.75" customHeight="1" x14ac:dyDescent="0.45">
      <c r="B2" s="140" t="s">
        <v>39</v>
      </c>
      <c r="C2" s="440">
        <v>100</v>
      </c>
      <c r="D2" s="89"/>
      <c r="E2" s="142" t="s">
        <v>89</v>
      </c>
      <c r="F2" s="442">
        <v>50</v>
      </c>
      <c r="H2" s="143" t="s">
        <v>289</v>
      </c>
      <c r="I2" s="438">
        <v>100</v>
      </c>
    </row>
    <row r="3" spans="2:9" ht="19.5" customHeight="1" thickBot="1" x14ac:dyDescent="0.5">
      <c r="B3" s="138"/>
      <c r="C3" s="441"/>
      <c r="D3" s="89"/>
      <c r="E3" s="141"/>
      <c r="F3" s="442"/>
      <c r="H3" s="119"/>
      <c r="I3" s="439"/>
    </row>
    <row r="4" spans="2:9" x14ac:dyDescent="0.35">
      <c r="B4" s="139" t="s">
        <v>110</v>
      </c>
      <c r="E4" t="s">
        <v>90</v>
      </c>
      <c r="H4" s="91" t="s">
        <v>349</v>
      </c>
    </row>
    <row r="5" spans="2:9" x14ac:dyDescent="0.35">
      <c r="B5" s="121" t="s">
        <v>111</v>
      </c>
      <c r="E5" t="s">
        <v>91</v>
      </c>
      <c r="H5" s="90" t="s">
        <v>282</v>
      </c>
    </row>
    <row r="6" spans="2:9" x14ac:dyDescent="0.35">
      <c r="B6" s="121" t="s">
        <v>112</v>
      </c>
      <c r="H6" s="199" t="s">
        <v>285</v>
      </c>
    </row>
    <row r="7" spans="2:9" x14ac:dyDescent="0.35">
      <c r="B7" s="121" t="s">
        <v>113</v>
      </c>
      <c r="H7" s="199" t="s">
        <v>286</v>
      </c>
    </row>
    <row r="8" spans="2:9" x14ac:dyDescent="0.35">
      <c r="B8" s="121" t="s">
        <v>114</v>
      </c>
      <c r="H8" s="90" t="s">
        <v>339</v>
      </c>
    </row>
    <row r="9" spans="2:9" x14ac:dyDescent="0.35">
      <c r="B9" s="121" t="s">
        <v>115</v>
      </c>
      <c r="H9" s="199" t="s">
        <v>288</v>
      </c>
    </row>
    <row r="10" spans="2:9" x14ac:dyDescent="0.35">
      <c r="B10" s="121" t="s">
        <v>116</v>
      </c>
      <c r="H10" s="199" t="s">
        <v>287</v>
      </c>
    </row>
    <row r="11" spans="2:9" x14ac:dyDescent="0.35">
      <c r="B11" s="121" t="s">
        <v>117</v>
      </c>
      <c r="H11" s="199" t="s">
        <v>284</v>
      </c>
    </row>
    <row r="12" spans="2:9" x14ac:dyDescent="0.35">
      <c r="B12" s="121" t="s">
        <v>118</v>
      </c>
      <c r="H12" s="90" t="s">
        <v>283</v>
      </c>
    </row>
    <row r="13" spans="2:9" x14ac:dyDescent="0.35">
      <c r="B13" s="121" t="s">
        <v>119</v>
      </c>
      <c r="H13" s="90" t="s">
        <v>317</v>
      </c>
    </row>
    <row r="14" spans="2:9" x14ac:dyDescent="0.35">
      <c r="B14" s="121" t="s">
        <v>120</v>
      </c>
      <c r="H14" s="200" t="s">
        <v>291</v>
      </c>
    </row>
    <row r="15" spans="2:9" x14ac:dyDescent="0.35">
      <c r="B15" s="121" t="s">
        <v>121</v>
      </c>
      <c r="H15" s="201" t="s">
        <v>318</v>
      </c>
    </row>
    <row r="16" spans="2:9" x14ac:dyDescent="0.35">
      <c r="B16" s="121" t="s">
        <v>122</v>
      </c>
      <c r="H16" s="202" t="s">
        <v>319</v>
      </c>
    </row>
    <row r="17" spans="2:8" x14ac:dyDescent="0.35">
      <c r="B17" s="121" t="s">
        <v>123</v>
      </c>
      <c r="H17" s="201" t="s">
        <v>320</v>
      </c>
    </row>
    <row r="18" spans="2:8" x14ac:dyDescent="0.35">
      <c r="B18" s="121" t="s">
        <v>124</v>
      </c>
      <c r="H18" s="202" t="s">
        <v>319</v>
      </c>
    </row>
    <row r="19" spans="2:8" x14ac:dyDescent="0.35">
      <c r="B19" s="121" t="s">
        <v>125</v>
      </c>
      <c r="H19" s="201" t="s">
        <v>321</v>
      </c>
    </row>
    <row r="20" spans="2:8" x14ac:dyDescent="0.35">
      <c r="B20" s="121" t="s">
        <v>126</v>
      </c>
      <c r="H20" s="202" t="s">
        <v>322</v>
      </c>
    </row>
    <row r="21" spans="2:8" x14ac:dyDescent="0.35">
      <c r="B21" s="121" t="s">
        <v>127</v>
      </c>
      <c r="H21" s="202" t="s">
        <v>323</v>
      </c>
    </row>
    <row r="22" spans="2:8" x14ac:dyDescent="0.35">
      <c r="B22" s="121" t="s">
        <v>128</v>
      </c>
      <c r="H22" s="228" t="s">
        <v>356</v>
      </c>
    </row>
    <row r="23" spans="2:8" x14ac:dyDescent="0.35">
      <c r="B23" s="121" t="s">
        <v>129</v>
      </c>
    </row>
    <row r="24" spans="2:8" x14ac:dyDescent="0.35">
      <c r="B24" s="121" t="s">
        <v>130</v>
      </c>
    </row>
    <row r="25" spans="2:8" x14ac:dyDescent="0.35">
      <c r="B25" s="121" t="s">
        <v>92</v>
      </c>
    </row>
    <row r="26" spans="2:8" x14ac:dyDescent="0.35">
      <c r="B26" s="121" t="s">
        <v>40</v>
      </c>
    </row>
    <row r="27" spans="2:8" x14ac:dyDescent="0.35">
      <c r="B27" s="121" t="s">
        <v>41</v>
      </c>
    </row>
    <row r="28" spans="2:8" x14ac:dyDescent="0.35">
      <c r="B28" t="s">
        <v>214</v>
      </c>
    </row>
    <row r="29" spans="2:8" x14ac:dyDescent="0.35">
      <c r="B29" t="s">
        <v>215</v>
      </c>
    </row>
    <row r="30" spans="2:8" x14ac:dyDescent="0.35">
      <c r="B30" t="s">
        <v>216</v>
      </c>
    </row>
    <row r="31" spans="2:8" x14ac:dyDescent="0.35">
      <c r="B31" t="s">
        <v>217</v>
      </c>
    </row>
    <row r="32" spans="2:8" x14ac:dyDescent="0.35">
      <c r="B32" t="s">
        <v>343</v>
      </c>
    </row>
    <row r="33" spans="2:2" x14ac:dyDescent="0.35">
      <c r="B33" t="s">
        <v>344</v>
      </c>
    </row>
    <row r="34" spans="2:2" x14ac:dyDescent="0.35">
      <c r="B34" s="223" t="s">
        <v>345</v>
      </c>
    </row>
  </sheetData>
  <sortState xmlns:xlrd2="http://schemas.microsoft.com/office/spreadsheetml/2017/richdata2" ref="H4:H13">
    <sortCondition ref="H4:H13"/>
  </sortState>
  <mergeCells count="3">
    <mergeCell ref="I2:I3"/>
    <mergeCell ref="C2:C3"/>
    <mergeCell ref="F2:F3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PLAN DE MUESTREO-AGUA</vt:lpstr>
      <vt:lpstr>Hoja1</vt:lpstr>
      <vt:lpstr>PARAMETROS</vt:lpstr>
      <vt:lpstr>MATRIZ</vt:lpstr>
      <vt:lpstr>'PLAN DE MUESTREO-AGUA'!Área_de_impresión</vt:lpstr>
      <vt:lpstr>COMERCIALES</vt:lpstr>
      <vt:lpstr>MATRICES</vt:lpstr>
      <vt:lpstr>MUESTREADOR</vt:lpstr>
      <vt:lpstr>PARAMETROS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MARTHA ISABEL</dc:creator>
  <cp:lastModifiedBy>Alex Victor  Sanchez Garcia</cp:lastModifiedBy>
  <cp:lastPrinted>2026-02-07T17:16:02Z</cp:lastPrinted>
  <dcterms:created xsi:type="dcterms:W3CDTF">2011-03-05T13:24:35Z</dcterms:created>
  <dcterms:modified xsi:type="dcterms:W3CDTF">2026-05-30T20:06:20Z</dcterms:modified>
</cp:coreProperties>
</file>